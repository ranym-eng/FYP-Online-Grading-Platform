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ccfea44e8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a5124eab7642f9"/>
    <x:sheet xmlns:r="http://schemas.openxmlformats.org/officeDocument/2006/relationships" name="DEMO_SCENARIOS" sheetId="2" r:id="R5310d3f3fcb24742"/>
    <x:sheet xmlns:r="http://schemas.openxmlformats.org/officeDocument/2006/relationships" name="STUDENTS" sheetId="3" r:id="R4a1f7266ab424c55"/>
    <x:sheet xmlns:r="http://schemas.openxmlformats.org/officeDocument/2006/relationships" name="ADMINISTRATORS" sheetId="4" r:id="Rb2c2680468744819"/>
    <x:sheet xmlns:r="http://schemas.openxmlformats.org/officeDocument/2006/relationships" name="COORDINATORS" sheetId="5" r:id="R3fa59bb8c2654700"/>
    <x:sheet xmlns:r="http://schemas.openxmlformats.org/officeDocument/2006/relationships" name="SUPERVISORS" sheetId="6" r:id="Rc0ab7258a4f2428e"/>
    <x:sheet xmlns:r="http://schemas.openxmlformats.org/officeDocument/2006/relationships" name="REPORT_EVALUATORS" sheetId="7" r:id="R6d9a56fd42bf4a3d"/>
    <x:sheet xmlns:r="http://schemas.openxmlformats.org/officeDocument/2006/relationships" name="FACULTY_EVALUATORS" sheetId="8" r:id="R92894c5b2d4849b4"/>
    <x:sheet xmlns:r="http://schemas.openxmlformats.org/officeDocument/2006/relationships" name="INDUSTRY_GUESTS" sheetId="9" r:id="R4d04a99108924f9d"/>
    <x:sheet xmlns:r="http://schemas.openxmlformats.org/officeDocument/2006/relationships" name="PHASES" sheetId="10" r:id="R0fd95c371e55417e"/>
    <x:sheet xmlns:r="http://schemas.openxmlformats.org/officeDocument/2006/relationships" name="PROJECT_ASSIGNMENTS" sheetId="11" r:id="R3f0870b8e36f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211E"/>
      <x:name val="Carlito"/>
    </x:font>
    <x:font>
      <x:b/>
      <x:sz val="11"/>
      <x:color rgb="FFFFFFFF"/>
      <x:name val="Carlito"/>
    </x:font>
    <x:font>
      <x:sz val="11"/>
      <x:color rgb="FF17211E"/>
      <x:name val="Carlito"/>
    </x:font>
    <x:font>
      <x:b/>
      <x:sz val="10"/>
      <x:color rgb="FFFFFFFF"/>
      <x:name val="Carlito"/>
    </x:font>
    <x:font>
      <x:sz val="10"/>
      <x:color rgb="FF17211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D33"/>
      </x:patternFill>
    </x:fill>
    <x:fill>
      <x:patternFill patternType="solid">
        <x:fgColor rgb="FFFBF2DA"/>
      </x:patternFill>
    </x:fill>
    <x:fill>
      <x:patternFill patternType="solid">
        <x:fgColor rgb="FF087858"/>
      </x:patternFill>
    </x:fill>
    <x:fill>
      <x:patternFill patternType="solid">
        <x:fgColor rgb="FFE8F1F6"/>
      </x:patternFill>
    </x:fill>
  </x:fills>
  <x:borders count="14">
    <x:border/>
    <x:border>
      <x:left style="thin">
        <x:color rgb="FFD9E3DE"/>
      </x:left>
      <x:right style="thin">
        <x:color rgb="FFD9E3DE"/>
      </x:right>
      <x:top style="thin">
        <x:color rgb="FFD9E3DE"/>
      </x:top>
      <x:bottom style="thin">
        <x:color rgb="FFD9E3DE"/>
      </x:bottom>
    </x:border>
    <x:border>
      <x:left style="thin">
        <x:color rgb="FFD9E3DE"/>
      </x:left>
      <x:top style="thin">
        <x:color rgb="FFD9E3DE"/>
      </x:top>
    </x:border>
    <x:border>
      <x:top style="thin">
        <x:color rgb="FFD9E3DE"/>
      </x:top>
    </x:border>
    <x:border>
      <x:right style="thin">
        <x:color rgb="FFD9E3DE"/>
      </x:right>
      <x:top style="thin">
        <x:color rgb="FFD9E3DE"/>
      </x:top>
    </x:border>
    <x:border>
      <x:left style="thin">
        <x:color rgb="FFD9E3DE"/>
      </x:left>
    </x:border>
    <x:border>
      <x:right style="thin">
        <x:color rgb="FFD9E3DE"/>
      </x:right>
    </x:border>
    <x:border>
      <x:left style="thin">
        <x:color rgb="FFD9E3DE"/>
      </x:left>
      <x:bottom style="thin">
        <x:color rgb="FFD9E3DE"/>
      </x:bottom>
    </x:border>
    <x:border>
      <x:bottom style="thin">
        <x:color rgb="FFD9E3DE"/>
      </x:bottom>
    </x:border>
    <x:border>
      <x:right style="thin">
        <x:color rgb="FFD9E3DE"/>
      </x:right>
      <x:bottom style="thin">
        <x:color rgb="FFD9E3DE"/>
      </x:bottom>
    </x:border>
    <x:border>
      <x:left style="thin">
        <x:color rgb="FF123D33"/>
      </x:left>
      <x:top style="thin">
        <x:color rgb="FF123D33"/>
      </x:top>
      <x:bottom style="thin">
        <x:color rgb="FF123D33"/>
      </x:bottom>
    </x:border>
    <x:border>
      <x:top style="thin">
        <x:color rgb="FF123D33"/>
      </x:top>
      <x:bottom style="thin">
        <x:color rgb="FF123D33"/>
      </x:bottom>
    </x:border>
    <x:border>
      <x:right style="thin">
        <x:color rgb="FF123D33"/>
      </x:right>
      <x:top style="thin">
        <x:color rgb="FF123D33"/>
      </x:top>
      <x:bottom style="thin">
        <x:color rgb="FF123D33"/>
      </x:bottom>
    </x:border>
    <x:border>
      <x:top style="thin">
        <x:color rgb="FFD9E3DE"/>
      </x:top>
      <x:bottom style="thin">
        <x:color rgb="FFD9E3DE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vertical="center" wrapText="1"/>
    </x:xf>
    <x:xf numFmtId="0" fontId="5" fillId="2" borderId="11" xfId="0" applyNumberFormat="1" applyFont="1" applyFill="1" applyBorder="1" applyAlignment="1">
      <x:alignment vertical="center" wrapText="1"/>
    </x:xf>
    <x:xf numFmtId="0" fontId="5" fillId="2" borderId="1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13" xfId="0" applyNumberFormat="1" applyFont="1" applyFill="1" applyBorder="1"/>
    <x:xf numFmtId="0" fontId="6" fillId="0" borderId="3" xfId="0" applyNumberFormat="1" applyFont="1" applyFill="1" applyBorder="1"/>
    <x:xf numFmtId="0" fontId="6" fillId="0" borderId="8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a144ebe394794" /><Relationship Type="http://schemas.openxmlformats.org/officeDocument/2006/relationships/theme" Target="/xl/theme/theme1.xml" Id="R0b50251ba43d434c" /><Relationship Type="http://schemas.openxmlformats.org/officeDocument/2006/relationships/sharedStrings" Target="/xl/sharedStrings.xml" Id="R08367dbc685b453d" /><Relationship Type="http://schemas.openxmlformats.org/officeDocument/2006/relationships/worksheet" Target="/xl/worksheets/sheet1.xml" Id="R2ca5124eab7642f9" /><Relationship Type="http://schemas.openxmlformats.org/officeDocument/2006/relationships/worksheet" Target="/xl/worksheets/sheet2.xml" Id="R5310d3f3fcb24742" /><Relationship Type="http://schemas.openxmlformats.org/officeDocument/2006/relationships/worksheet" Target="/xl/worksheets/sheet3.xml" Id="R4a1f7266ab424c55" /><Relationship Type="http://schemas.openxmlformats.org/officeDocument/2006/relationships/worksheet" Target="/xl/worksheets/sheet4.xml" Id="Rb2c2680468744819" /><Relationship Type="http://schemas.openxmlformats.org/officeDocument/2006/relationships/worksheet" Target="/xl/worksheets/sheet5.xml" Id="R3fa59bb8c2654700" /><Relationship Type="http://schemas.openxmlformats.org/officeDocument/2006/relationships/worksheet" Target="/xl/worksheets/sheet6.xml" Id="Rc0ab7258a4f2428e" /><Relationship Type="http://schemas.openxmlformats.org/officeDocument/2006/relationships/worksheet" Target="/xl/worksheets/sheet7.xml" Id="R6d9a56fd42bf4a3d" /><Relationship Type="http://schemas.openxmlformats.org/officeDocument/2006/relationships/worksheet" Target="/xl/worksheets/sheet8.xml" Id="R92894c5b2d4849b4" /><Relationship Type="http://schemas.openxmlformats.org/officeDocument/2006/relationships/worksheet" Target="/xl/worksheets/sheet9.xml" Id="R4d04a99108924f9d" /><Relationship Type="http://schemas.openxmlformats.org/officeDocument/2006/relationships/worksheet" Target="/xl/worksheets/sheet10.xml" Id="R0fd95c371e55417e" /><Relationship Type="http://schemas.openxmlformats.org/officeDocument/2006/relationships/worksheet" Target="/xl/worksheets/sheet11.xml" Id="R3f0870b8e36f4e56" /></Relationships>
</file>

<file path=xl/tables/table1.xml><?xml version="1.0" encoding="utf-8"?>
<x:table xmlns:x="http://schemas.openxmlformats.org/spreadsheetml/2006/main" id="1" name="DemoScenariosTable" displayName="DemoScenariosTable" ref="A1:E9" headerRowCount="1" totalsRowCount="0" totalsRowShown="0">
  <x:autoFilter ref="A1:E9"/>
  <x:tableColumns count="5">
    <x:tableColumn id="1" name="Role"/>
    <x:tableColumn id="2" name="Login Email"/>
    <x:tableColumn id="3" name="Password / Activation"/>
    <x:tableColumn id="4" name="Scenario"/>
    <x:tableColumn id="5" name="Expected Path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tudentsTable" displayName="StudentsTable" ref="A1:F27" headerRowCount="1" totalsRowCount="0" totalsRowShown="0">
  <x:autoFilter ref="A1:F27"/>
  <x:tableColumns count="6">
    <x:tableColumn id="1" name="Student ID"/>
    <x:tableColumn id="2" name="Student Name"/>
    <x:tableColumn id="3" name="Email"/>
    <x:tableColumn id="4" name="Cohort"/>
    <x:tableColumn id="5" name="Track Code"/>
    <x:tableColumn id="6" name="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dministratorsTable" displayName="AdministratorsTable" ref="A1:J3" headerRowCount="1" totalsRowCount="0" totalsRowShown="0">
  <x:autoFilter ref="A1:J3"/>
  <x:tableColumns count="10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  <x:tableColumn id="10" name="Temporary Passwor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ordinatorsTable" displayName="CoordinatorsTable" ref="A1:J3" headerRowCount="1" totalsRowCount="0" totalsRowShown="0">
  <x:autoFilter ref="A1:J3"/>
  <x:tableColumns count="10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  <x:tableColumn id="10" name="Temporary Password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SupervisorsTable" displayName="SupervisorsTable" ref="A1:J9" headerRowCount="1" totalsRowCount="0" totalsRowShown="0">
  <x:autoFilter ref="A1:J9"/>
  <x:tableColumns count="10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  <x:tableColumn id="10" name="Temporary Passwor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portEvaluatorsTable" displayName="ReportEvaluatorsTable" ref="A1:J7" headerRowCount="1" totalsRowCount="0" totalsRowShown="0">
  <x:autoFilter ref="A1:J7"/>
  <x:tableColumns count="10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  <x:tableColumn id="10" name="Temporary Passwo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FacultyEvaluatorsTable" displayName="FacultyEvaluatorsTable" ref="A1:J7" headerRowCount="1" totalsRowCount="0" totalsRowShown="0">
  <x:autoFilter ref="A1:J7"/>
  <x:tableColumns count="10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  <x:tableColumn id="10" name="Temporary Passwor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IndustryGuestsTable" displayName="IndustryGuestsTable" ref="A1:J6" headerRowCount="1" totalsRowCount="0" totalsRowShown="0">
  <x:autoFilter ref="A1:J6"/>
  <x:tableColumns count="10">
    <x:tableColumn id="1" name="Actor ID"/>
    <x:tableColumn id="2" name="Actor Name"/>
    <x:tableColumn id="3" name="Email"/>
    <x:tableColumn id="4" name="Phone"/>
    <x:tableColumn id="5" name="Department"/>
    <x:tableColumn id="6" name="Specialization"/>
    <x:tableColumn id="7" name="Organization"/>
    <x:tableColumn id="8" name="Access Expires At"/>
    <x:tableColumn id="9" name="Status"/>
    <x:tableColumn id="10" name="Temporary Password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PhasesTable" displayName="PhasesTable" ref="A1:F5" headerRowCount="1" totalsRowCount="0" totalsRowShown="0">
  <x:autoFilter ref="A1:F5"/>
  <x:tableColumns count="6">
    <x:tableColumn id="1" name="Phase Type"/>
    <x:tableColumn id="2" name="Phase Name"/>
    <x:tableColumn id="3" name="Academic Year"/>
    <x:tableColumn id="4" name="Start Date"/>
    <x:tableColumn id="5" name="Deadline"/>
    <x:tableColumn id="6" name="Status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ProjectAssignmentsTable" displayName="ProjectAssignmentsTable" ref="A1:O27" headerRowCount="1" totalsRowCount="0" totalsRowShown="0">
  <x:autoFilter ref="A1:O27"/>
  <x:tableColumns count="15">
    <x:tableColumn id="1" name="Cohort"/>
    <x:tableColumn id="2" name="Track Code"/>
    <x:tableColumn id="3" name="Project Number"/>
    <x:tableColumn id="4" name="Project Title"/>
    <x:tableColumn id="5" name="Project Abstract"/>
    <x:tableColumn id="6" name="Section"/>
    <x:tableColumn id="7" name="Student ID"/>
    <x:tableColumn id="8" name="Student Name"/>
    <x:tableColumn id="9" name="Supervisor ID"/>
    <x:tableColumn id="10" name="Supervisor Name"/>
    <x:tableColumn id="11" name="Report Phase I Evaluator Emails"/>
    <x:tableColumn id="12" name="Oral Phase I Evaluator Emails"/>
    <x:tableColumn id="13" name="Report Phase II Evaluator Emails"/>
    <x:tableColumn id="14" name="Oral Phase II Evaluator Emails"/>
    <x:tableColumn id="15" name="Industry Guest Email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08058d8d6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682ad59f4f46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05dc39706f4c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9180b6b6e443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06ed35e74049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45b9f6e8fe4b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79912c85c845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95569809af47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1dbb74f8b6442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f0d45f950fa49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55" hidden="0" customWidth="1"/>
    <x:col min="3" max="3" width="3" hidden="0" customWidth="1"/>
    <x:col min="4" max="4" width="23.75" hidden="0" customWidth="1"/>
    <x:col min="5" max="5" width="21.25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19.5" customHeight="1">
      <x:c r="A1" s="16" t="str">
        <x:v>FYP ONLINE GRADING PLATFORM | FULL DEMO DATA</x:v>
      </x:c>
      <x:c r="B1" s="17"/>
      <x:c r="C1" s="17"/>
      <x:c r="D1" s="17"/>
      <x:c r="E1" s="17"/>
      <x:c r="F1" s="17"/>
      <x:c r="G1" s="17"/>
      <x:c r="H1" s="18"/>
    </x:row>
    <x:row r="2" ht="19.5" customHeight="1">
      <x:c r="A2" s="19"/>
      <x:c r="B2" s="3"/>
      <x:c r="C2" s="3"/>
      <x:c r="D2" s="3"/>
      <x:c r="E2" s="3"/>
      <x:c r="F2" s="3"/>
      <x:c r="G2" s="3"/>
      <x:c r="H2" s="20"/>
    </x:row>
    <x:row r="3" ht="19.5" customHeight="1">
      <x:c r="A3" s="21"/>
      <x:c r="B3" s="22"/>
      <x:c r="C3" s="22"/>
      <x:c r="D3" s="22"/>
      <x:c r="E3" s="22"/>
      <x:c r="F3" s="22"/>
      <x:c r="G3" s="22"/>
      <x:c r="H3" s="23"/>
    </x:row>
    <x:row r="4" ht="19.5" customHeight="1">
      <x:c r="A4" s="24" t="str">
        <x:v>Synthetic delivery dataset - no real person or organization is represented</x:v>
      </x:c>
      <x:c r="B4" s="6"/>
      <x:c r="C4" s="6"/>
      <x:c r="D4" s="6"/>
      <x:c r="E4" s="6"/>
      <x:c r="F4" s="6"/>
      <x:c r="G4" s="6"/>
      <x:c r="H4" s="25"/>
    </x:row>
    <x:row r="5" ht="19.5" customHeight="1">
      <x:c r="A5" s="21"/>
      <x:c r="B5" s="22"/>
      <x:c r="C5" s="22"/>
      <x:c r="D5" s="22"/>
      <x:c r="E5" s="22"/>
      <x:c r="F5" s="22"/>
      <x:c r="G5" s="22"/>
      <x:c r="H5" s="23"/>
    </x:row>
    <x:row r="6" ht="19.5" customHeight="1">
      <x:c r="A6" s="9" t="str">
        <x:v>What this workbook initializes</x:v>
      </x:c>
      <x:c r="B6" s="9" t="str">
        <x:v>Purpose</x:v>
      </x:c>
      <x:c r="C6" s="22"/>
      <x:c r="D6" s="9" t="str">
        <x:v>Dataset indicator</x:v>
      </x:c>
      <x:c r="E6" s="9" t="str">
        <x:v>Value</x:v>
      </x:c>
      <x:c r="F6" s="22"/>
      <x:c r="G6" s="22"/>
      <x:c r="H6" s="23"/>
    </x:row>
    <x:row r="7" ht="19.5" customHeight="1">
      <x:c r="A7" s="10" t="str">
        <x:v>STUDENTS</x:v>
      </x:c>
      <x:c r="B7" s="11" t="str">
        <x:v>Official student academic records without user accounts</x:v>
      </x:c>
      <x:c r="C7" s="22"/>
      <x:c r="D7" s="10" t="str">
        <x:v>Students</x:v>
      </x:c>
      <x:c r="E7" s="10" t="n">
        <x:f>COUNTA('STUDENTS'!A2:A200)</x:f>
        <x:v>26</x:v>
      </x:c>
      <x:c r="F7" s="22"/>
      <x:c r="G7" s="22"/>
      <x:c r="H7" s="23"/>
    </x:row>
    <x:row r="8" ht="19.5" customHeight="1">
      <x:c r="A8" s="10" t="str">
        <x:v>Actor sheets</x:v>
      </x:c>
      <x:c r="B8" s="11" t="str">
        <x:v>Administrators, coordinators, supervisors and evaluators</x:v>
      </x:c>
      <x:c r="C8" s="22"/>
      <x:c r="D8" s="10" t="str">
        <x:v>Projects</x:v>
      </x:c>
      <x:c r="E8" s="10" t="n">
        <x:v>8</x:v>
      </x:c>
      <x:c r="F8" s="22"/>
      <x:c r="G8" s="22"/>
      <x:c r="H8" s="23"/>
    </x:row>
    <x:row r="9" ht="19.5" customHeight="1">
      <x:c r="A9" s="10" t="str">
        <x:v>PHASES</x:v>
      </x:c>
      <x:c r="B9" s="11" t="str">
        <x:v>Open, future, closed and archived phase examples</x:v>
      </x:c>
      <x:c r="C9" s="22"/>
      <x:c r="D9" s="10" t="str">
        <x:v>Internal actors</x:v>
      </x:c>
      <x:c r="E9" s="10" t="n">
        <x:f>COUNTA('ADMINISTRATORS'!A2:A100)+COUNTA('COORDINATORS'!A2:A100)+COUNTA('SUPERVISORS'!A2:A100)+COUNTA('REPORT_EVALUATORS'!A2:A100)+COUNTA('FACULTY_EVALUATORS'!A2:A100)</x:f>
        <x:v>24</x:v>
      </x:c>
      <x:c r="F9" s="22"/>
      <x:c r="G9" s="22"/>
      <x:c r="H9" s="23"/>
    </x:row>
    <x:row r="10" ht="19.5" customHeight="1">
      <x:c r="A10" s="10" t="str">
        <x:v>PROJECT_ASSIGNMENTS</x:v>
      </x:c>
      <x:c r="B10" s="11" t="str">
        <x:v>Projects, teams, students, supervisors and evaluator assignments</x:v>
      </x:c>
      <x:c r="C10" s="22"/>
      <x:c r="D10" s="10" t="str">
        <x:v>Industry guests</x:v>
      </x:c>
      <x:c r="E10" s="10" t="n">
        <x:f>COUNTA('INDUSTRY_GUESTS'!A2:A100)</x:f>
        <x:v>5</x:v>
      </x:c>
      <x:c r="F10" s="22"/>
      <x:c r="G10" s="22"/>
      <x:c r="H10" s="23"/>
    </x:row>
    <x:row r="11" ht="19.5" customHeight="1">
      <x:c r="A11" s="10" t="str">
        <x:v>DEMO_SCENARIOS</x:v>
      </x:c>
      <x:c r="B11" s="11" t="str">
        <x:v>Credentials and end-to-end test paths</x:v>
      </x:c>
      <x:c r="C11" s="22"/>
      <x:c r="D11" s="10" t="str">
        <x:v>Phases</x:v>
      </x:c>
      <x:c r="E11" s="10" t="n">
        <x:f>COUNTA('PHASES'!A2:A100)</x:f>
        <x:v>4</x:v>
      </x:c>
      <x:c r="F11" s="22"/>
      <x:c r="G11" s="22"/>
      <x:c r="H11" s="23"/>
    </x:row>
    <x:row r="12" ht="19.5" customHeight="1">
      <x:c r="A12" s="10" t="str">
        <x:v>Import order</x:v>
      </x:c>
      <x:c r="B12" s="11" t="str">
        <x:v>Use Preview first, then Confirm Import from the administrator workspace</x:v>
      </x:c>
      <x:c r="C12" s="22"/>
      <x:c r="D12" s="10" t="str">
        <x:v>Shared local password</x:v>
      </x:c>
      <x:c r="E12" s="10" t="str">
        <x:v>Demo@123</x:v>
      </x:c>
      <x:c r="F12" s="22"/>
      <x:c r="G12" s="22"/>
      <x:c r="H12" s="23"/>
    </x:row>
    <x:row r="13" ht="19.5" customHeight="1">
      <x:c r="A13" s="21"/>
      <x:c r="B13" s="22"/>
      <x:c r="C13" s="22"/>
      <x:c r="D13" s="22"/>
      <x:c r="E13" s="22"/>
      <x:c r="F13" s="22"/>
      <x:c r="G13" s="22"/>
      <x:c r="H13" s="23"/>
    </x:row>
    <x:row r="14" ht="19.5" customHeight="1">
      <x:c r="A14" s="26" t="str">
        <x:v>Local demonstration: imported internal accounts use Demo@123 only when LOCAL_INTERNAL_LOGIN_ENABLED=true. In production, SQU SSO remains the identity source and the temporary-password column is ignored. Industry guests must activate the invitation link captured in Mailpit.</x:v>
      </x:c>
      <x:c r="B14" s="15"/>
      <x:c r="C14" s="15"/>
      <x:c r="D14" s="15"/>
      <x:c r="E14" s="15"/>
      <x:c r="F14" s="15"/>
      <x:c r="G14" s="15"/>
      <x:c r="H14" s="27"/>
    </x:row>
    <x:row r="15" ht="19.5" customHeight="1">
      <x:c r="A15" s="26"/>
      <x:c r="B15" s="15"/>
      <x:c r="C15" s="15"/>
      <x:c r="D15" s="15"/>
      <x:c r="E15" s="15"/>
      <x:c r="F15" s="15"/>
      <x:c r="G15" s="15"/>
      <x:c r="H15" s="27"/>
    </x:row>
    <x:row r="16" ht="19.5" customHeight="1">
      <x:c r="A16" s="28"/>
      <x:c r="B16" s="29"/>
      <x:c r="C16" s="29"/>
      <x:c r="D16" s="29"/>
      <x:c r="E16" s="29"/>
      <x:c r="F16" s="29"/>
      <x:c r="G16" s="29"/>
      <x:c r="H16" s="30"/>
    </x:row>
  </x:sheetData>
  <x:mergeCells>
    <x:mergeCell ref="A1:H2"/>
    <x:mergeCell ref="A4:H4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9.3799991607666" hidden="0" customWidth="1"/>
    <x:col min="3" max="3" width="20" hidden="0" customWidth="1"/>
    <x:col min="4" max="4" width="22.5" hidden="0" customWidth="1"/>
    <x:col min="5" max="5" width="65" hidden="0" customWidth="1"/>
  </x:cols>
  <x:sheetData>
    <x:row r="1" ht="28.5" customHeight="1">
      <x:c r="A1" s="38" t="str">
        <x:v>Role</x:v>
      </x:c>
      <x:c r="B1" s="39" t="str">
        <x:v>Login Email</x:v>
      </x:c>
      <x:c r="C1" s="39" t="str">
        <x:v>Password / Activation</x:v>
      </x:c>
      <x:c r="D1" s="39" t="str">
        <x:v>Scenario</x:v>
      </x:c>
      <x:c r="E1" s="40" t="str">
        <x:v>Expected Path</x:v>
      </x:c>
    </x:row>
    <x:row r="2" ht="33" customHeight="1">
      <x:c r="A2" s="45" t="str">
        <x:v>Administrator</x:v>
      </x:c>
      <x:c r="B2" s="45" t="str">
        <x:v>admin.demo@squ.edu.om</x:v>
      </x:c>
      <x:c r="C2" s="45" t="str">
        <x:v>Demo@123</x:v>
      </x:c>
      <x:c r="D2" s="45" t="str">
        <x:v>Import and CRUD</x:v>
      </x:c>
      <x:c r="E2" s="48" t="str">
        <x:v>Preview/import workbook; manage phases; inspect users, projects and assignments; approve extension; consolidate and export</x:v>
      </x:c>
    </x:row>
    <x:row r="3" ht="33" customHeight="1">
      <x:c r="A3" s="46" t="str">
        <x:v>Coordinator</x:v>
      </x:c>
      <x:c r="B3" s="46" t="str">
        <x:v>coordinator.demo@squ.edu.om</x:v>
      </x:c>
      <x:c r="C3" s="46" t="str">
        <x:v>Demo@123</x:v>
      </x:c>
      <x:c r="D3" s="46" t="str">
        <x:v>Reporting</x:v>
      </x:c>
      <x:c r="E3" s="49" t="str">
        <x:v>Review completeness, consolidated grades, reports and audit trail</x:v>
      </x:c>
    </x:row>
    <x:row r="4" ht="33" customHeight="1">
      <x:c r="A4" s="46" t="str">
        <x:v>Supervisor</x:v>
      </x:c>
      <x:c r="B4" s="46" t="str">
        <x:v>supervisor.eic1@squ.edu.om</x:v>
      </x:c>
      <x:c r="C4" s="46" t="str">
        <x:v>Demo@123</x:v>
      </x:c>
      <x:c r="D4" s="46" t="str">
        <x:v>Supervisor evaluation</x:v>
      </x:c>
      <x:c r="E4" s="49" t="str">
        <x:v>See only EIC-01; save Phase I draft; submit and lock; request extension</x:v>
      </x:c>
    </x:row>
    <x:row r="5" ht="33" customHeight="1">
      <x:c r="A5" s="46" t="str">
        <x:v>Report evaluator</x:v>
      </x:c>
      <x:c r="B5" s="46" t="str">
        <x:v>report.eic@squ.edu.om</x:v>
      </x:c>
      <x:c r="C5" s="46" t="str">
        <x:v>Demo@123</x:v>
      </x:c>
      <x:c r="D5" s="46" t="str">
        <x:v>Paper reports</x:v>
      </x:c>
      <x:c r="E5" s="49" t="str">
        <x:v>See EIC-01/EIC-02 assignments; evaluate Report I and Report II only</x:v>
      </x:c>
    </x:row>
    <x:row r="6" ht="33" customHeight="1">
      <x:c r="A6" s="46" t="str">
        <x:v>Faculty evaluator</x:v>
      </x:c>
      <x:c r="B6" s="46" t="str">
        <x:v>oral.eic@squ.edu.om</x:v>
      </x:c>
      <x:c r="C6" s="46" t="str">
        <x:v>Demo@123</x:v>
      </x:c>
      <x:c r="D6" s="46" t="str">
        <x:v>Oral defense</x:v>
      </x:c>
      <x:c r="E6" s="49" t="str">
        <x:v>See assigned EIC projects; evaluate oral Phase I and Phase II only</x:v>
      </x:c>
    </x:row>
    <x:row r="7" ht="33" customHeight="1">
      <x:c r="A7" s="46" t="str">
        <x:v>Industry guest</x:v>
      </x:c>
      <x:c r="B7" s="46" t="str">
        <x:v>guest.automation@example.org</x:v>
      </x:c>
      <x:c r="C7" s="46" t="str">
        <x:v>Activate via Mailpit</x:v>
      </x:c>
      <x:c r="D7" s="46" t="str">
        <x:v>Demo Day</x:v>
      </x:c>
      <x:c r="E7" s="49" t="str">
        <x:v>Open invitation email, set password, evaluate only assigned Demo Day projects</x:v>
      </x:c>
    </x:row>
    <x:row r="8" ht="33" customHeight="1">
      <x:c r="A8" s="46" t="str">
        <x:v>Access control check</x:v>
      </x:c>
      <x:c r="B8" s="46" t="str">
        <x:v>report.csn@squ.edu.om</x:v>
      </x:c>
      <x:c r="C8" s="46" t="str">
        <x:v>Demo@123</x:v>
      </x:c>
      <x:c r="D8" s="46" t="str">
        <x:v>Project isolation</x:v>
      </x:c>
      <x:c r="E8" s="49" t="str">
        <x:v>Confirm EIC projects are absent and direct access is rejected</x:v>
      </x:c>
    </x:row>
    <x:row r="9" ht="33" customHeight="1">
      <x:c r="A9" s="47" t="str">
        <x:v>Deadline check</x:v>
      </x:c>
      <x:c r="B9" s="47" t="str">
        <x:v>supervisor.eic2@squ.edu.om</x:v>
      </x:c>
      <x:c r="C9" s="47" t="str">
        <x:v>Demo@123</x:v>
      </x:c>
      <x:c r="D9" s="47" t="str">
        <x:v>Phase window</x:v>
      </x:c>
      <x:c r="E9" s="50" t="str">
        <x:v>Close FYP I as admin; verify draft/submission is blocked; send extension request; approve as admin</x:v>
      </x:c>
    </x:row>
  </x:sheetData>
  <x:pageMargins left="0.7" right="0.7" top="0.75" bottom="0.75" header="0.3" footer="0.3"/>
  <x:tableParts count="1">
    <x:tablePart xmlns:r="http://schemas.openxmlformats.org/officeDocument/2006/relationships" r:id="Rd1308058d8d6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26.25" hidden="0" customWidth="1"/>
    <x:col min="3" max="3" width="30.6299991607666" hidden="0" customWidth="1"/>
    <x:col min="4" max="4" width="11.25" hidden="0" customWidth="1"/>
    <x:col min="5" max="5" width="11.25" hidden="0" customWidth="1"/>
    <x:col min="6" max="6" width="15" hidden="0" customWidth="1"/>
  </x:cols>
  <x:sheetData>
    <x:row r="1" ht="28.5" customHeight="1">
      <x:c r="A1" s="38" t="str">
        <x:v>Student ID</x:v>
      </x:c>
      <x:c r="B1" s="39" t="str">
        <x:v>Student Name</x:v>
      </x:c>
      <x:c r="C1" s="39" t="str">
        <x:v>Email</x:v>
      </x:c>
      <x:c r="D1" s="39" t="str">
        <x:v>Cohort</x:v>
      </x:c>
      <x:c r="E1" s="39" t="str">
        <x:v>Track Code</x:v>
      </x:c>
      <x:c r="F1" s="40" t="str">
        <x:v>Level</x:v>
      </x:c>
    </x:row>
    <x:row r="2" ht="20.25" customHeight="1">
      <x:c r="A2" s="45" t="str">
        <x:v>260001</x:v>
      </x:c>
      <x:c r="B2" s="45" t="str">
        <x:v>Alya Nadir Demo</x:v>
      </x:c>
      <x:c r="C2" s="45" t="str">
        <x:v>s260001@student.squ.edu.om</x:v>
      </x:c>
      <x:c r="D2" s="45" t="str">
        <x:v>2026</x:v>
      </x:c>
      <x:c r="E2" s="45" t="str">
        <x:v>EIC</x:v>
      </x:c>
      <x:c r="F2" s="45" t="str">
        <x:v>Final Year</x:v>
      </x:c>
    </x:row>
    <x:row r="3" ht="20.25" customHeight="1">
      <x:c r="A3" s="46" t="str">
        <x:v>260002</x:v>
      </x:c>
      <x:c r="B3" s="46" t="str">
        <x:v>Omar Rayyan Demo</x:v>
      </x:c>
      <x:c r="C3" s="46" t="str">
        <x:v>s260002@student.squ.edu.om</x:v>
      </x:c>
      <x:c r="D3" s="46" t="str">
        <x:v>2026</x:v>
      </x:c>
      <x:c r="E3" s="46" t="str">
        <x:v>EIC</x:v>
      </x:c>
      <x:c r="F3" s="46" t="str">
        <x:v>Final Year</x:v>
      </x:c>
    </x:row>
    <x:row r="4" ht="20.25" customHeight="1">
      <x:c r="A4" s="46" t="str">
        <x:v>260003</x:v>
      </x:c>
      <x:c r="B4" s="46" t="str">
        <x:v>Noor Hadi Demo</x:v>
      </x:c>
      <x:c r="C4" s="46" t="str">
        <x:v>s260003@student.squ.edu.om</x:v>
      </x:c>
      <x:c r="D4" s="46" t="str">
        <x:v>2026</x:v>
      </x:c>
      <x:c r="E4" s="46" t="str">
        <x:v>EIC</x:v>
      </x:c>
      <x:c r="F4" s="46" t="str">
        <x:v>Final Year</x:v>
      </x:c>
    </x:row>
    <x:row r="5" ht="20.25" customHeight="1">
      <x:c r="A5" s="46" t="str">
        <x:v>260004</x:v>
      </x:c>
      <x:c r="B5" s="46" t="str">
        <x:v>Layan Sami Demo</x:v>
      </x:c>
      <x:c r="C5" s="46" t="str">
        <x:v>s260004@student.squ.edu.om</x:v>
      </x:c>
      <x:c r="D5" s="46" t="str">
        <x:v>2026</x:v>
      </x:c>
      <x:c r="E5" s="46" t="str">
        <x:v>EIC</x:v>
      </x:c>
      <x:c r="F5" s="46" t="str">
        <x:v>Final Year</x:v>
      </x:c>
    </x:row>
    <x:row r="6" ht="20.25" customHeight="1">
      <x:c r="A6" s="46" t="str">
        <x:v>260005</x:v>
      </x:c>
      <x:c r="B6" s="46" t="str">
        <x:v>Zayd Kareem Demo</x:v>
      </x:c>
      <x:c r="C6" s="46" t="str">
        <x:v>s260005@student.squ.edu.om</x:v>
      </x:c>
      <x:c r="D6" s="46" t="str">
        <x:v>2026</x:v>
      </x:c>
      <x:c r="E6" s="46" t="str">
        <x:v>EIC</x:v>
      </x:c>
      <x:c r="F6" s="46" t="str">
        <x:v>Final Year</x:v>
      </x:c>
    </x:row>
    <x:row r="7" ht="20.25" customHeight="1">
      <x:c r="A7" s="46" t="str">
        <x:v>260006</x:v>
      </x:c>
      <x:c r="B7" s="46" t="str">
        <x:v>Mira Qasim Demo</x:v>
      </x:c>
      <x:c r="C7" s="46" t="str">
        <x:v>s260006@student.squ.edu.om</x:v>
      </x:c>
      <x:c r="D7" s="46" t="str">
        <x:v>2026</x:v>
      </x:c>
      <x:c r="E7" s="46" t="str">
        <x:v>EIC</x:v>
      </x:c>
      <x:c r="F7" s="46" t="str">
        <x:v>Final Year</x:v>
      </x:c>
    </x:row>
    <x:row r="8" ht="20.25" customHeight="1">
      <x:c r="A8" s="46" t="str">
        <x:v>260007</x:v>
      </x:c>
      <x:c r="B8" s="46" t="str">
        <x:v>Rami Jaleel Demo</x:v>
      </x:c>
      <x:c r="C8" s="46" t="str">
        <x:v>s260007@student.squ.edu.om</x:v>
      </x:c>
      <x:c r="D8" s="46" t="str">
        <x:v>2026</x:v>
      </x:c>
      <x:c r="E8" s="46" t="str">
        <x:v>CSN</x:v>
      </x:c>
      <x:c r="F8" s="46" t="str">
        <x:v>Final Year</x:v>
      </x:c>
    </x:row>
    <x:row r="9" ht="20.25" customHeight="1">
      <x:c r="A9" s="46" t="str">
        <x:v>260008</x:v>
      </x:c>
      <x:c r="B9" s="46" t="str">
        <x:v>Dana Faris Demo</x:v>
      </x:c>
      <x:c r="C9" s="46" t="str">
        <x:v>s260008@student.squ.edu.om</x:v>
      </x:c>
      <x:c r="D9" s="46" t="str">
        <x:v>2026</x:v>
      </x:c>
      <x:c r="E9" s="46" t="str">
        <x:v>CSN</x:v>
      </x:c>
      <x:c r="F9" s="46" t="str">
        <x:v>Final Year</x:v>
      </x:c>
    </x:row>
    <x:row r="10" ht="20.25" customHeight="1">
      <x:c r="A10" s="46" t="str">
        <x:v>260009</x:v>
      </x:c>
      <x:c r="B10" s="46" t="str">
        <x:v>Sami Waleed Demo</x:v>
      </x:c>
      <x:c r="C10" s="46" t="str">
        <x:v>s260009@student.squ.edu.om</x:v>
      </x:c>
      <x:c r="D10" s="46" t="str">
        <x:v>2026</x:v>
      </x:c>
      <x:c r="E10" s="46" t="str">
        <x:v>CSN</x:v>
      </x:c>
      <x:c r="F10" s="46" t="str">
        <x:v>Final Year</x:v>
      </x:c>
    </x:row>
    <x:row r="11" ht="20.25" customHeight="1">
      <x:c r="A11" s="46" t="str">
        <x:v>260010</x:v>
      </x:c>
      <x:c r="B11" s="46" t="str">
        <x:v>Hana Raed Demo</x:v>
      </x:c>
      <x:c r="C11" s="46" t="str">
        <x:v>s260010@student.squ.edu.om</x:v>
      </x:c>
      <x:c r="D11" s="46" t="str">
        <x:v>2026</x:v>
      </x:c>
      <x:c r="E11" s="46" t="str">
        <x:v>CSN</x:v>
      </x:c>
      <x:c r="F11" s="46" t="str">
        <x:v>Final Year</x:v>
      </x:c>
    </x:row>
    <x:row r="12" ht="20.25" customHeight="1">
      <x:c r="A12" s="46" t="str">
        <x:v>260011</x:v>
      </x:c>
      <x:c r="B12" s="46" t="str">
        <x:v>Tala Naim Demo</x:v>
      </x:c>
      <x:c r="C12" s="46" t="str">
        <x:v>s260011@student.squ.edu.om</x:v>
      </x:c>
      <x:c r="D12" s="46" t="str">
        <x:v>2026</x:v>
      </x:c>
      <x:c r="E12" s="46" t="str">
        <x:v>CSN</x:v>
      </x:c>
      <x:c r="F12" s="46" t="str">
        <x:v>Final Year</x:v>
      </x:c>
    </x:row>
    <x:row r="13" ht="20.25" customHeight="1">
      <x:c r="A13" s="46" t="str">
        <x:v>260012</x:v>
      </x:c>
      <x:c r="B13" s="46" t="str">
        <x:v>Yazan Basel Demo</x:v>
      </x:c>
      <x:c r="C13" s="46" t="str">
        <x:v>s260012@student.squ.edu.om</x:v>
      </x:c>
      <x:c r="D13" s="46" t="str">
        <x:v>2026</x:v>
      </x:c>
      <x:c r="E13" s="46" t="str">
        <x:v>CSN</x:v>
      </x:c>
      <x:c r="F13" s="46" t="str">
        <x:v>Final Year</x:v>
      </x:c>
    </x:row>
    <x:row r="14" ht="20.25" customHeight="1">
      <x:c r="A14" s="46" t="str">
        <x:v>260013</x:v>
      </x:c>
      <x:c r="B14" s="46" t="str">
        <x:v>Jana Munir Demo</x:v>
      </x:c>
      <x:c r="C14" s="46" t="str">
        <x:v>s260013@student.squ.edu.om</x:v>
      </x:c>
      <x:c r="D14" s="46" t="str">
        <x:v>2026</x:v>
      </x:c>
      <x:c r="E14" s="46" t="str">
        <x:v>CSP</x:v>
      </x:c>
      <x:c r="F14" s="46" t="str">
        <x:v>Final Year</x:v>
      </x:c>
    </x:row>
    <x:row r="15" ht="20.25" customHeight="1">
      <x:c r="A15" s="46" t="str">
        <x:v>260014</x:v>
      </x:c>
      <x:c r="B15" s="46" t="str">
        <x:v>Adam Zahir Demo</x:v>
      </x:c>
      <x:c r="C15" s="46" t="str">
        <x:v>s260014@student.squ.edu.om</x:v>
      </x:c>
      <x:c r="D15" s="46" t="str">
        <x:v>2026</x:v>
      </x:c>
      <x:c r="E15" s="46" t="str">
        <x:v>CSP</x:v>
      </x:c>
      <x:c r="F15" s="46" t="str">
        <x:v>Final Year</x:v>
      </x:c>
    </x:row>
    <x:row r="16" ht="20.25" customHeight="1">
      <x:c r="A16" s="46" t="str">
        <x:v>260015</x:v>
      </x:c>
      <x:c r="B16" s="46" t="str">
        <x:v>Reem Salim Demo</x:v>
      </x:c>
      <x:c r="C16" s="46" t="str">
        <x:v>s260015@student.squ.edu.om</x:v>
      </x:c>
      <x:c r="D16" s="46" t="str">
        <x:v>2026</x:v>
      </x:c>
      <x:c r="E16" s="46" t="str">
        <x:v>CSP</x:v>
      </x:c>
      <x:c r="F16" s="46" t="str">
        <x:v>Final Year</x:v>
      </x:c>
    </x:row>
    <x:row r="17" ht="20.25" customHeight="1">
      <x:c r="A17" s="46" t="str">
        <x:v>260016</x:v>
      </x:c>
      <x:c r="B17" s="46" t="str">
        <x:v>Nabil Fadi Demo</x:v>
      </x:c>
      <x:c r="C17" s="46" t="str">
        <x:v>s260016@student.squ.edu.om</x:v>
      </x:c>
      <x:c r="D17" s="46" t="str">
        <x:v>2026</x:v>
      </x:c>
      <x:c r="E17" s="46" t="str">
        <x:v>CSP</x:v>
      </x:c>
      <x:c r="F17" s="46" t="str">
        <x:v>Final Year</x:v>
      </x:c>
    </x:row>
    <x:row r="18" ht="20.25" customHeight="1">
      <x:c r="A18" s="46" t="str">
        <x:v>260017</x:v>
      </x:c>
      <x:c r="B18" s="46" t="str">
        <x:v>Sara Mazen Demo</x:v>
      </x:c>
      <x:c r="C18" s="46" t="str">
        <x:v>s260017@student.squ.edu.om</x:v>
      </x:c>
      <x:c r="D18" s="46" t="str">
        <x:v>2026</x:v>
      </x:c>
      <x:c r="E18" s="46" t="str">
        <x:v>CSP</x:v>
      </x:c>
      <x:c r="F18" s="46" t="str">
        <x:v>Final Year</x:v>
      </x:c>
    </x:row>
    <x:row r="19" ht="20.25" customHeight="1">
      <x:c r="A19" s="46" t="str">
        <x:v>260018</x:v>
      </x:c>
      <x:c r="B19" s="46" t="str">
        <x:v>Laith Nadim Demo</x:v>
      </x:c>
      <x:c r="C19" s="46" t="str">
        <x:v>s260018@student.squ.edu.om</x:v>
      </x:c>
      <x:c r="D19" s="46" t="str">
        <x:v>2026</x:v>
      </x:c>
      <x:c r="E19" s="46" t="str">
        <x:v>CSP</x:v>
      </x:c>
      <x:c r="F19" s="46" t="str">
        <x:v>Final Year</x:v>
      </x:c>
    </x:row>
    <x:row r="20" ht="20.25" customHeight="1">
      <x:c r="A20" s="46" t="str">
        <x:v>260019</x:v>
      </x:c>
      <x:c r="B20" s="46" t="str">
        <x:v>Rana Hisham Demo</x:v>
      </x:c>
      <x:c r="C20" s="46" t="str">
        <x:v>s260019@student.squ.edu.om</x:v>
      </x:c>
      <x:c r="D20" s="46" t="str">
        <x:v>2026</x:v>
      </x:c>
      <x:c r="E20" s="46" t="str">
        <x:v>CSP</x:v>
      </x:c>
      <x:c r="F20" s="46" t="str">
        <x:v>Final Year</x:v>
      </x:c>
    </x:row>
    <x:row r="21" ht="20.25" customHeight="1">
      <x:c r="A21" s="46" t="str">
        <x:v>260020</x:v>
      </x:c>
      <x:c r="B21" s="46" t="str">
        <x:v>Iyad Rayan Demo</x:v>
      </x:c>
      <x:c r="C21" s="46" t="str">
        <x:v>s260020@student.squ.edu.om</x:v>
      </x:c>
      <x:c r="D21" s="46" t="str">
        <x:v>2026</x:v>
      </x:c>
      <x:c r="E21" s="46" t="str">
        <x:v>CSP</x:v>
      </x:c>
      <x:c r="F21" s="46" t="str">
        <x:v>Final Year</x:v>
      </x:c>
    </x:row>
    <x:row r="22" ht="20.25" customHeight="1">
      <x:c r="A22" s="46" t="str">
        <x:v>260021</x:v>
      </x:c>
      <x:c r="B22" s="46" t="str">
        <x:v>Maya Jaber Demo</x:v>
      </x:c>
      <x:c r="C22" s="46" t="str">
        <x:v>s260021@student.squ.edu.om</x:v>
      </x:c>
      <x:c r="D22" s="46" t="str">
        <x:v>2026</x:v>
      </x:c>
      <x:c r="E22" s="46" t="str">
        <x:v>PSE</x:v>
      </x:c>
      <x:c r="F22" s="46" t="str">
        <x:v>Final Year</x:v>
      </x:c>
    </x:row>
    <x:row r="23" ht="20.25" customHeight="1">
      <x:c r="A23" s="46" t="str">
        <x:v>260022</x:v>
      </x:c>
      <x:c r="B23" s="46" t="str">
        <x:v>Tarek Amin Demo</x:v>
      </x:c>
      <x:c r="C23" s="46" t="str">
        <x:v>s260022@student.squ.edu.om</x:v>
      </x:c>
      <x:c r="D23" s="46" t="str">
        <x:v>2026</x:v>
      </x:c>
      <x:c r="E23" s="46" t="str">
        <x:v>PSE</x:v>
      </x:c>
      <x:c r="F23" s="46" t="str">
        <x:v>Final Year</x:v>
      </x:c>
    </x:row>
    <x:row r="24" ht="20.25" customHeight="1">
      <x:c r="A24" s="46" t="str">
        <x:v>260023</x:v>
      </x:c>
      <x:c r="B24" s="46" t="str">
        <x:v>Noura Zaki Demo</x:v>
      </x:c>
      <x:c r="C24" s="46" t="str">
        <x:v>s260023@student.squ.edu.om</x:v>
      </x:c>
      <x:c r="D24" s="46" t="str">
        <x:v>2026</x:v>
      </x:c>
      <x:c r="E24" s="46" t="str">
        <x:v>PSE</x:v>
      </x:c>
      <x:c r="F24" s="46" t="str">
        <x:v>Final Year</x:v>
      </x:c>
    </x:row>
    <x:row r="25" ht="20.25" customHeight="1">
      <x:c r="A25" s="46" t="str">
        <x:v>260024</x:v>
      </x:c>
      <x:c r="B25" s="46" t="str">
        <x:v>Khaled Riad Demo</x:v>
      </x:c>
      <x:c r="C25" s="46" t="str">
        <x:v>s260024@student.squ.edu.om</x:v>
      </x:c>
      <x:c r="D25" s="46" t="str">
        <x:v>2026</x:v>
      </x:c>
      <x:c r="E25" s="46" t="str">
        <x:v>PSE</x:v>
      </x:c>
      <x:c r="F25" s="46" t="str">
        <x:v>Final Year</x:v>
      </x:c>
    </x:row>
    <x:row r="26" ht="20.25" customHeight="1">
      <x:c r="A26" s="46" t="str">
        <x:v>260025</x:v>
      </x:c>
      <x:c r="B26" s="46" t="str">
        <x:v>Lina Saif Demo</x:v>
      </x:c>
      <x:c r="C26" s="46" t="str">
        <x:v>s260025@student.squ.edu.om</x:v>
      </x:c>
      <x:c r="D26" s="46" t="str">
        <x:v>2026</x:v>
      </x:c>
      <x:c r="E26" s="46" t="str">
        <x:v>PSE</x:v>
      </x:c>
      <x:c r="F26" s="46" t="str">
        <x:v>Final Year</x:v>
      </x:c>
    </x:row>
    <x:row r="27" ht="20.25" customHeight="1">
      <x:c r="A27" s="47" t="str">
        <x:v>260026</x:v>
      </x:c>
      <x:c r="B27" s="47" t="str">
        <x:v>Fares Adil Demo</x:v>
      </x:c>
      <x:c r="C27" s="47" t="str">
        <x:v>s260026@student.squ.edu.om</x:v>
      </x:c>
      <x:c r="D27" s="47" t="str">
        <x:v>2026</x:v>
      </x:c>
      <x:c r="E27" s="47" t="str">
        <x:v>PSE</x:v>
      </x:c>
      <x:c r="F27" s="47" t="str">
        <x:v>Final Year</x:v>
      </x:c>
    </x:row>
  </x:sheetData>
  <x:pageMargins left="0.7" right="0.7" top="0.75" bottom="0.75" header="0.3" footer="0.3"/>
  <x:tableParts count="1">
    <x:tablePart xmlns:r="http://schemas.openxmlformats.org/officeDocument/2006/relationships" r:id="R44682ad59f4f46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5.6299991607666" hidden="0" customWidth="1"/>
    <x:col min="3" max="3" width="29.3799991607666" hidden="0" customWidth="1"/>
    <x:col min="4" max="4" width="15.630000114440918" hidden="0" customWidth="1"/>
    <x:col min="5" max="5" width="23.1299991607666" hidden="0" customWidth="1"/>
    <x:col min="6" max="6" width="23.75" hidden="0" customWidth="1"/>
    <x:col min="7" max="7" width="22.5" hidden="0" customWidth="1"/>
    <x:col min="8" max="8" width="21.25" hidden="0" customWidth="1"/>
    <x:col min="9" max="9" width="14.380000114440918" hidden="0" customWidth="1"/>
    <x:col min="10" max="10" width="18.1299991607666" hidden="0" customWidth="1"/>
  </x:cols>
  <x:sheetData>
    <x:row r="1" ht="28.5" customHeight="1">
      <x:c r="A1" s="38" t="str">
        <x:v>Actor ID</x:v>
      </x:c>
      <x:c r="B1" s="39" t="str">
        <x:v>Actor Name</x:v>
      </x:c>
      <x:c r="C1" s="39" t="str">
        <x:v>Email</x:v>
      </x:c>
      <x:c r="D1" s="39" t="str">
        <x:v>Phone</x:v>
      </x:c>
      <x:c r="E1" s="39" t="str">
        <x:v>Department</x:v>
      </x:c>
      <x:c r="F1" s="39" t="str">
        <x:v>Specialization</x:v>
      </x:c>
      <x:c r="G1" s="39" t="str">
        <x:v>Organization</x:v>
      </x:c>
      <x:c r="H1" s="39" t="str">
        <x:v>Access Expires At</x:v>
      </x:c>
      <x:c r="I1" s="39" t="str">
        <x:v>Status</x:v>
      </x:c>
      <x:c r="J1" s="40" t="str">
        <x:v>Temporary Password</x:v>
      </x:c>
    </x:row>
    <x:row r="2" ht="20.25" customHeight="1">
      <x:c r="A2" s="45" t="str">
        <x:v>ADM-DEMO-01</x:v>
      </x:c>
      <x:c r="B2" s="45" t="str">
        <x:v>Amina Vale Demo</x:v>
      </x:c>
      <x:c r="C2" s="45" t="str">
        <x:v>admin.demo@squ.edu.om</x:v>
      </x:c>
      <x:c r="D2" s="45" t="str">
        <x:v>+968 9000 0101</x:v>
      </x:c>
      <x:c r="E2" s="45" t="str">
        <x:v>FYP Office</x:v>
      </x:c>
      <x:c r="F2" s="45" t="str">
        <x:v>Platform Administration</x:v>
      </x:c>
      <x:c r="G2" s="45" t="str"/>
      <x:c r="H2" s="45" t="str"/>
      <x:c r="I2" s="45" t="str">
        <x:v>ACTIVE</x:v>
      </x:c>
      <x:c r="J2" s="45" t="str">
        <x:v>Demo@123</x:v>
      </x:c>
    </x:row>
    <x:row r="3" ht="20.25" customHeight="1">
      <x:c r="A3" s="47" t="str">
        <x:v>ADM-DEMO-02</x:v>
      </x:c>
      <x:c r="B3" s="47" t="str">
        <x:v>Harith Lane Demo</x:v>
      </x:c>
      <x:c r="C3" s="47" t="str">
        <x:v>admin.operations@squ.edu.om</x:v>
      </x:c>
      <x:c r="D3" s="47" t="str">
        <x:v>+968 9000 0102</x:v>
      </x:c>
      <x:c r="E3" s="47" t="str">
        <x:v>FYP Office</x:v>
      </x:c>
      <x:c r="F3" s="47" t="str">
        <x:v>Academic Operations</x:v>
      </x:c>
      <x:c r="G3" s="47" t="str"/>
      <x:c r="H3" s="47" t="str"/>
      <x:c r="I3" s="47" t="str">
        <x:v>ACTIVE</x:v>
      </x:c>
      <x:c r="J3" s="47" t="str">
        <x:v>Demo@123</x:v>
      </x:c>
    </x:row>
  </x:sheetData>
  <x:pageMargins left="0.7" right="0.7" top="0.75" bottom="0.75" header="0.3" footer="0.3"/>
  <x:tableParts count="1">
    <x:tablePart xmlns:r="http://schemas.openxmlformats.org/officeDocument/2006/relationships" r:id="Rd905dc39706f4c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5.6299991607666" hidden="0" customWidth="1"/>
    <x:col min="3" max="3" width="30.6299991607666" hidden="0" customWidth="1"/>
    <x:col min="4" max="4" width="15.630000114440918" hidden="0" customWidth="1"/>
    <x:col min="5" max="5" width="29.3799991607666" hidden="0" customWidth="1"/>
    <x:col min="6" max="6" width="23.75" hidden="0" customWidth="1"/>
    <x:col min="7" max="7" width="22.5" hidden="0" customWidth="1"/>
    <x:col min="8" max="8" width="21.25" hidden="0" customWidth="1"/>
    <x:col min="9" max="9" width="14.380000114440918" hidden="0" customWidth="1"/>
    <x:col min="10" max="10" width="18.1299991607666" hidden="0" customWidth="1"/>
  </x:cols>
  <x:sheetData>
    <x:row r="1" ht="28.5" customHeight="1">
      <x:c r="A1" s="38" t="str">
        <x:v>Actor ID</x:v>
      </x:c>
      <x:c r="B1" s="39" t="str">
        <x:v>Actor Name</x:v>
      </x:c>
      <x:c r="C1" s="39" t="str">
        <x:v>Email</x:v>
      </x:c>
      <x:c r="D1" s="39" t="str">
        <x:v>Phone</x:v>
      </x:c>
      <x:c r="E1" s="39" t="str">
        <x:v>Department</x:v>
      </x:c>
      <x:c r="F1" s="39" t="str">
        <x:v>Specialization</x:v>
      </x:c>
      <x:c r="G1" s="39" t="str">
        <x:v>Organization</x:v>
      </x:c>
      <x:c r="H1" s="39" t="str">
        <x:v>Access Expires At</x:v>
      </x:c>
      <x:c r="I1" s="39" t="str">
        <x:v>Status</x:v>
      </x:c>
      <x:c r="J1" s="40" t="str">
        <x:v>Temporary Password</x:v>
      </x:c>
    </x:row>
    <x:row r="2" ht="20.25" customHeight="1">
      <x:c r="A2" s="45" t="str">
        <x:v>COORD-DEMO-01</x:v>
      </x:c>
      <x:c r="B2" s="45" t="str">
        <x:v>Mariam Noor Demo</x:v>
      </x:c>
      <x:c r="C2" s="45" t="str">
        <x:v>coordinator.demo@squ.edu.om</x:v>
      </x:c>
      <x:c r="D2" s="45" t="str">
        <x:v>+968 9000 0201</x:v>
      </x:c>
      <x:c r="E2" s="45" t="str">
        <x:v>Electrical and Computer Engineering</x:v>
      </x:c>
      <x:c r="F2" s="45" t="str">
        <x:v>FYP Coordination</x:v>
      </x:c>
      <x:c r="G2" s="45" t="str"/>
      <x:c r="H2" s="45" t="str"/>
      <x:c r="I2" s="45" t="str">
        <x:v>ACTIVE</x:v>
      </x:c>
      <x:c r="J2" s="45" t="str">
        <x:v>Demo@123</x:v>
      </x:c>
    </x:row>
    <x:row r="3" ht="20.25" customHeight="1">
      <x:c r="A3" s="47" t="str">
        <x:v>COORD-DEMO-02</x:v>
      </x:c>
      <x:c r="B3" s="47" t="str">
        <x:v>Saeed Hatem Demo</x:v>
      </x:c>
      <x:c r="C3" s="47" t="str">
        <x:v>coordinator.quality@squ.edu.om</x:v>
      </x:c>
      <x:c r="D3" s="47" t="str">
        <x:v>+968 9000 0202</x:v>
      </x:c>
      <x:c r="E3" s="47" t="str">
        <x:v>Electrical and Computer Engineering</x:v>
      </x:c>
      <x:c r="F3" s="47" t="str">
        <x:v>Quality and Reporting</x:v>
      </x:c>
      <x:c r="G3" s="47" t="str"/>
      <x:c r="H3" s="47" t="str"/>
      <x:c r="I3" s="47" t="str">
        <x:v>ACTIVE</x:v>
      </x:c>
      <x:c r="J3" s="47" t="str">
        <x:v>Demo@123</x:v>
      </x:c>
    </x:row>
  </x:sheetData>
  <x:pageMargins left="0.7" right="0.7" top="0.75" bottom="0.75" header="0.3" footer="0.3"/>
  <x:tableParts count="1">
    <x:tablePart xmlns:r="http://schemas.openxmlformats.org/officeDocument/2006/relationships" r:id="Rb89180b6b6e443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5.6299991607666" hidden="0" customWidth="1"/>
    <x:col min="3" max="3" width="30.6299991607666" hidden="0" customWidth="1"/>
    <x:col min="4" max="4" width="15.630000114440918" hidden="0" customWidth="1"/>
    <x:col min="5" max="5" width="29.3799991607666" hidden="0" customWidth="1"/>
    <x:col min="6" max="6" width="23.75" hidden="0" customWidth="1"/>
    <x:col min="7" max="7" width="22.5" hidden="0" customWidth="1"/>
    <x:col min="8" max="8" width="21.25" hidden="0" customWidth="1"/>
    <x:col min="9" max="9" width="14.380000114440918" hidden="0" customWidth="1"/>
    <x:col min="10" max="10" width="18.1299991607666" hidden="0" customWidth="1"/>
  </x:cols>
  <x:sheetData>
    <x:row r="1" ht="28.5" customHeight="1">
      <x:c r="A1" s="38" t="str">
        <x:v>Actor ID</x:v>
      </x:c>
      <x:c r="B1" s="39" t="str">
        <x:v>Actor Name</x:v>
      </x:c>
      <x:c r="C1" s="39" t="str">
        <x:v>Email</x:v>
      </x:c>
      <x:c r="D1" s="39" t="str">
        <x:v>Phone</x:v>
      </x:c>
      <x:c r="E1" s="39" t="str">
        <x:v>Department</x:v>
      </x:c>
      <x:c r="F1" s="39" t="str">
        <x:v>Specialization</x:v>
      </x:c>
      <x:c r="G1" s="39" t="str">
        <x:v>Organization</x:v>
      </x:c>
      <x:c r="H1" s="39" t="str">
        <x:v>Access Expires At</x:v>
      </x:c>
      <x:c r="I1" s="39" t="str">
        <x:v>Status</x:v>
      </x:c>
      <x:c r="J1" s="40" t="str">
        <x:v>Temporary Password</x:v>
      </x:c>
    </x:row>
    <x:row r="2" ht="20.25" customHeight="1">
      <x:c r="A2" s="45" t="str">
        <x:v>SUP-EIC-01</x:v>
      </x:c>
      <x:c r="B2" s="45" t="str">
        <x:v>Noura Atlas Demo</x:v>
      </x:c>
      <x:c r="C2" s="45" t="str">
        <x:v>supervisor.eic1@squ.edu.om</x:v>
      </x:c>
      <x:c r="D2" s="45" t="str">
        <x:v>+968 9000 1101</x:v>
      </x:c>
      <x:c r="E2" s="45" t="str">
        <x:v>Electrical and Computer Engineering</x:v>
      </x:c>
      <x:c r="F2" s="45" t="str">
        <x:v>Control Systems</x:v>
      </x:c>
      <x:c r="G2" s="45" t="str"/>
      <x:c r="H2" s="45" t="str"/>
      <x:c r="I2" s="45" t="str">
        <x:v>ACTIVE</x:v>
      </x:c>
      <x:c r="J2" s="45" t="str">
        <x:v>Demo@123</x:v>
      </x:c>
    </x:row>
    <x:row r="3" ht="20.25" customHeight="1">
      <x:c r="A3" s="46" t="str">
        <x:v>SUP-EIC-02</x:v>
      </x:c>
      <x:c r="B3" s="46" t="str">
        <x:v>Kareem Cedar Demo</x:v>
      </x:c>
      <x:c r="C3" s="46" t="str">
        <x:v>supervisor.eic2@squ.edu.om</x:v>
      </x:c>
      <x:c r="D3" s="46" t="str">
        <x:v>+968 9000 1102</x:v>
      </x:c>
      <x:c r="E3" s="46" t="str">
        <x:v>Electrical and Computer Engineering</x:v>
      </x:c>
      <x:c r="F3" s="46" t="str">
        <x:v>Instrumentation</x:v>
      </x:c>
      <x:c r="G3" s="46" t="str"/>
      <x:c r="H3" s="46" t="str"/>
      <x:c r="I3" s="46" t="str">
        <x:v>ACTIVE</x:v>
      </x:c>
      <x:c r="J3" s="46" t="str">
        <x:v>Demo@123</x:v>
      </x:c>
    </x:row>
    <x:row r="4" ht="20.25" customHeight="1">
      <x:c r="A4" s="46" t="str">
        <x:v>SUP-CSN-01</x:v>
      </x:c>
      <x:c r="B4" s="46" t="str">
        <x:v>Salma Orion Demo</x:v>
      </x:c>
      <x:c r="C4" s="46" t="str">
        <x:v>supervisor.csn1@squ.edu.om</x:v>
      </x:c>
      <x:c r="D4" s="46" t="str">
        <x:v>+968 9000 1201</x:v>
      </x:c>
      <x:c r="E4" s="46" t="str">
        <x:v>Electrical and Computer Engineering</x:v>
      </x:c>
      <x:c r="F4" s="46" t="str">
        <x:v>Communication Networks</x:v>
      </x:c>
      <x:c r="G4" s="46" t="str"/>
      <x:c r="H4" s="46" t="str"/>
      <x:c r="I4" s="46" t="str">
        <x:v>ACTIVE</x:v>
      </x:c>
      <x:c r="J4" s="46" t="str">
        <x:v>Demo@123</x:v>
      </x:c>
    </x:row>
    <x:row r="5" ht="20.25" customHeight="1">
      <x:c r="A5" s="46" t="str">
        <x:v>SUP-CSN-02</x:v>
      </x:c>
      <x:c r="B5" s="46" t="str">
        <x:v>Yousef Flint Demo</x:v>
      </x:c>
      <x:c r="C5" s="46" t="str">
        <x:v>supervisor.csn2@squ.edu.om</x:v>
      </x:c>
      <x:c r="D5" s="46" t="str">
        <x:v>+968 9000 1202</x:v>
      </x:c>
      <x:c r="E5" s="46" t="str">
        <x:v>Electrical and Computer Engineering</x:v>
      </x:c>
      <x:c r="F5" s="46" t="str">
        <x:v>Signal Processing</x:v>
      </x:c>
      <x:c r="G5" s="46" t="str"/>
      <x:c r="H5" s="46" t="str"/>
      <x:c r="I5" s="46" t="str">
        <x:v>ACTIVE</x:v>
      </x:c>
      <x:c r="J5" s="46" t="str">
        <x:v>Demo@123</x:v>
      </x:c>
    </x:row>
    <x:row r="6" ht="20.25" customHeight="1">
      <x:c r="A6" s="46" t="str">
        <x:v>SUP-CSP-01</x:v>
      </x:c>
      <x:c r="B6" s="46" t="str">
        <x:v>Dalia Quartz Demo</x:v>
      </x:c>
      <x:c r="C6" s="46" t="str">
        <x:v>supervisor.csp1@squ.edu.om</x:v>
      </x:c>
      <x:c r="D6" s="46" t="str">
        <x:v>+968 9000 1301</x:v>
      </x:c>
      <x:c r="E6" s="46" t="str">
        <x:v>Electrical and Computer Engineering</x:v>
      </x:c>
      <x:c r="F6" s="46" t="str">
        <x:v>Software Engineering</x:v>
      </x:c>
      <x:c r="G6" s="46" t="str"/>
      <x:c r="H6" s="46" t="str"/>
      <x:c r="I6" s="46" t="str">
        <x:v>ACTIVE</x:v>
      </x:c>
      <x:c r="J6" s="46" t="str">
        <x:v>Demo@123</x:v>
      </x:c>
    </x:row>
    <x:row r="7" ht="20.25" customHeight="1">
      <x:c r="A7" s="46" t="str">
        <x:v>SUP-CSP-02</x:v>
      </x:c>
      <x:c r="B7" s="46" t="str">
        <x:v>Hadi Brook Demo</x:v>
      </x:c>
      <x:c r="C7" s="46" t="str">
        <x:v>supervisor.csp2@squ.edu.om</x:v>
      </x:c>
      <x:c r="D7" s="46" t="str">
        <x:v>+968 9000 1302</x:v>
      </x:c>
      <x:c r="E7" s="46" t="str">
        <x:v>Electrical and Computer Engineering</x:v>
      </x:c>
      <x:c r="F7" s="46" t="str">
        <x:v>Embedded Systems</x:v>
      </x:c>
      <x:c r="G7" s="46" t="str"/>
      <x:c r="H7" s="46" t="str"/>
      <x:c r="I7" s="46" t="str">
        <x:v>ACTIVE</x:v>
      </x:c>
      <x:c r="J7" s="46" t="str">
        <x:v>Demo@123</x:v>
      </x:c>
    </x:row>
    <x:row r="8" ht="20.25" customHeight="1">
      <x:c r="A8" s="46" t="str">
        <x:v>SUP-PSE-01</x:v>
      </x:c>
      <x:c r="B8" s="46" t="str">
        <x:v>Rima Solis Demo</x:v>
      </x:c>
      <x:c r="C8" s="46" t="str">
        <x:v>supervisor.pse1@squ.edu.om</x:v>
      </x:c>
      <x:c r="D8" s="46" t="str">
        <x:v>+968 9000 1401</x:v>
      </x:c>
      <x:c r="E8" s="46" t="str">
        <x:v>Electrical and Computer Engineering</x:v>
      </x:c>
      <x:c r="F8" s="46" t="str">
        <x:v>Power Systems</x:v>
      </x:c>
      <x:c r="G8" s="46" t="str"/>
      <x:c r="H8" s="46" t="str"/>
      <x:c r="I8" s="46" t="str">
        <x:v>ACTIVE</x:v>
      </x:c>
      <x:c r="J8" s="46" t="str">
        <x:v>Demo@123</x:v>
      </x:c>
    </x:row>
    <x:row r="9" ht="20.25" customHeight="1">
      <x:c r="A9" s="47" t="str">
        <x:v>SUP-PSE-02</x:v>
      </x:c>
      <x:c r="B9" s="47" t="str">
        <x:v>Fahad Elm Demo</x:v>
      </x:c>
      <x:c r="C9" s="47" t="str">
        <x:v>supervisor.pse2@squ.edu.om</x:v>
      </x:c>
      <x:c r="D9" s="47" t="str">
        <x:v>+968 9000 1402</x:v>
      </x:c>
      <x:c r="E9" s="47" t="str">
        <x:v>Electrical and Computer Engineering</x:v>
      </x:c>
      <x:c r="F9" s="47" t="str">
        <x:v>Renewable Energy</x:v>
      </x:c>
      <x:c r="G9" s="47" t="str"/>
      <x:c r="H9" s="47" t="str"/>
      <x:c r="I9" s="47" t="str">
        <x:v>ACTIVE</x:v>
      </x:c>
      <x:c r="J9" s="47" t="str">
        <x:v>Demo@123</x:v>
      </x:c>
    </x:row>
  </x:sheetData>
  <x:pageMargins left="0.7" right="0.7" top="0.75" bottom="0.75" header="0.3" footer="0.3"/>
  <x:tableParts count="1">
    <x:tablePart xmlns:r="http://schemas.openxmlformats.org/officeDocument/2006/relationships" r:id="R2b06ed35e74049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5.6299991607666" hidden="0" customWidth="1"/>
    <x:col min="3" max="3" width="29.3799991607666" hidden="0" customWidth="1"/>
    <x:col min="4" max="4" width="15.630000114440918" hidden="0" customWidth="1"/>
    <x:col min="5" max="5" width="29.3799991607666" hidden="0" customWidth="1"/>
    <x:col min="6" max="6" width="26.25" hidden="0" customWidth="1"/>
    <x:col min="7" max="7" width="22.5" hidden="0" customWidth="1"/>
    <x:col min="8" max="8" width="21.25" hidden="0" customWidth="1"/>
    <x:col min="9" max="9" width="14.380000114440918" hidden="0" customWidth="1"/>
    <x:col min="10" max="10" width="18.1299991607666" hidden="0" customWidth="1"/>
  </x:cols>
  <x:sheetData>
    <x:row r="1" ht="28.5" customHeight="1">
      <x:c r="A1" s="38" t="str">
        <x:v>Actor ID</x:v>
      </x:c>
      <x:c r="B1" s="39" t="str">
        <x:v>Actor Name</x:v>
      </x:c>
      <x:c r="C1" s="39" t="str">
        <x:v>Email</x:v>
      </x:c>
      <x:c r="D1" s="39" t="str">
        <x:v>Phone</x:v>
      </x:c>
      <x:c r="E1" s="39" t="str">
        <x:v>Department</x:v>
      </x:c>
      <x:c r="F1" s="39" t="str">
        <x:v>Specialization</x:v>
      </x:c>
      <x:c r="G1" s="39" t="str">
        <x:v>Organization</x:v>
      </x:c>
      <x:c r="H1" s="39" t="str">
        <x:v>Access Expires At</x:v>
      </x:c>
      <x:c r="I1" s="39" t="str">
        <x:v>Status</x:v>
      </x:c>
      <x:c r="J1" s="40" t="str">
        <x:v>Temporary Password</x:v>
      </x:c>
    </x:row>
    <x:row r="2" ht="20.25" customHeight="1">
      <x:c r="A2" s="45" t="str">
        <x:v>REP-EIC-01</x:v>
      </x:c>
      <x:c r="B2" s="45" t="str">
        <x:v>Leena Harbor Demo</x:v>
      </x:c>
      <x:c r="C2" s="45" t="str">
        <x:v>report.eic@squ.edu.om</x:v>
      </x:c>
      <x:c r="D2" s="45" t="str">
        <x:v>+968 9000 2101</x:v>
      </x:c>
      <x:c r="E2" s="45" t="str">
        <x:v>Electrical and Computer Engineering</x:v>
      </x:c>
      <x:c r="F2" s="45" t="str">
        <x:v>Technical Writing and Control</x:v>
      </x:c>
      <x:c r="G2" s="45" t="str"/>
      <x:c r="H2" s="45" t="str"/>
      <x:c r="I2" s="45" t="str">
        <x:v>ACTIVE</x:v>
      </x:c>
      <x:c r="J2" s="45" t="str">
        <x:v>Demo@123</x:v>
      </x:c>
    </x:row>
    <x:row r="3" ht="20.25" customHeight="1">
      <x:c r="A3" s="46" t="str">
        <x:v>REP-CSN-01</x:v>
      </x:c>
      <x:c r="B3" s="46" t="str">
        <x:v>Omar Ridge Demo</x:v>
      </x:c>
      <x:c r="C3" s="46" t="str">
        <x:v>report.csn@squ.edu.om</x:v>
      </x:c>
      <x:c r="D3" s="46" t="str">
        <x:v>+968 9000 2102</x:v>
      </x:c>
      <x:c r="E3" s="46" t="str">
        <x:v>Electrical and Computer Engineering</x:v>
      </x:c>
      <x:c r="F3" s="46" t="str">
        <x:v>Communication Systems</x:v>
      </x:c>
      <x:c r="G3" s="46" t="str"/>
      <x:c r="H3" s="46" t="str"/>
      <x:c r="I3" s="46" t="str">
        <x:v>ACTIVE</x:v>
      </x:c>
      <x:c r="J3" s="46" t="str">
        <x:v>Demo@123</x:v>
      </x:c>
    </x:row>
    <x:row r="4" ht="20.25" customHeight="1">
      <x:c r="A4" s="46" t="str">
        <x:v>REP-CSP-01</x:v>
      </x:c>
      <x:c r="B4" s="46" t="str">
        <x:v>Maha Birch Demo</x:v>
      </x:c>
      <x:c r="C4" s="46" t="str">
        <x:v>report.csp@squ.edu.om</x:v>
      </x:c>
      <x:c r="D4" s="46" t="str">
        <x:v>+968 9000 2103</x:v>
      </x:c>
      <x:c r="E4" s="46" t="str">
        <x:v>Electrical and Computer Engineering</x:v>
      </x:c>
      <x:c r="F4" s="46" t="str">
        <x:v>Computing Systems</x:v>
      </x:c>
      <x:c r="G4" s="46" t="str"/>
      <x:c r="H4" s="46" t="str"/>
      <x:c r="I4" s="46" t="str">
        <x:v>ACTIVE</x:v>
      </x:c>
      <x:c r="J4" s="46" t="str">
        <x:v>Demo@123</x:v>
      </x:c>
    </x:row>
    <x:row r="5" ht="20.25" customHeight="1">
      <x:c r="A5" s="46" t="str">
        <x:v>REP-PSE-01</x:v>
      </x:c>
      <x:c r="B5" s="46" t="str">
        <x:v>Zain Delta Demo</x:v>
      </x:c>
      <x:c r="C5" s="46" t="str">
        <x:v>report.pse@squ.edu.om</x:v>
      </x:c>
      <x:c r="D5" s="46" t="str">
        <x:v>+968 9000 2104</x:v>
      </x:c>
      <x:c r="E5" s="46" t="str">
        <x:v>Electrical and Computer Engineering</x:v>
      </x:c>
      <x:c r="F5" s="46" t="str">
        <x:v>Energy Systems</x:v>
      </x:c>
      <x:c r="G5" s="46" t="str"/>
      <x:c r="H5" s="46" t="str"/>
      <x:c r="I5" s="46" t="str">
        <x:v>ACTIVE</x:v>
      </x:c>
      <x:c r="J5" s="46" t="str">
        <x:v>Demo@123</x:v>
      </x:c>
    </x:row>
    <x:row r="6" ht="20.25" customHeight="1">
      <x:c r="A6" s="46" t="str">
        <x:v>REP-CROSS-01</x:v>
      </x:c>
      <x:c r="B6" s="46" t="str">
        <x:v>Hala Meridian Demo</x:v>
      </x:c>
      <x:c r="C6" s="46" t="str">
        <x:v>report.cross1@squ.edu.om</x:v>
      </x:c>
      <x:c r="D6" s="46" t="str">
        <x:v>+968 9000 2105</x:v>
      </x:c>
      <x:c r="E6" s="46" t="str">
        <x:v>Electrical and Computer Engineering</x:v>
      </x:c>
      <x:c r="F6" s="46" t="str">
        <x:v>Engineering Design</x:v>
      </x:c>
      <x:c r="G6" s="46" t="str"/>
      <x:c r="H6" s="46" t="str"/>
      <x:c r="I6" s="46" t="str">
        <x:v>ACTIVE</x:v>
      </x:c>
      <x:c r="J6" s="46" t="str">
        <x:v>Demo@123</x:v>
      </x:c>
    </x:row>
    <x:row r="7" ht="20.25" customHeight="1">
      <x:c r="A7" s="47" t="str">
        <x:v>REP-CROSS-02</x:v>
      </x:c>
      <x:c r="B7" s="47" t="str">
        <x:v>Nader Summit Demo</x:v>
      </x:c>
      <x:c r="C7" s="47" t="str">
        <x:v>report.cross2@squ.edu.om</x:v>
      </x:c>
      <x:c r="D7" s="47" t="str">
        <x:v>+968 9000 2106</x:v>
      </x:c>
      <x:c r="E7" s="47" t="str">
        <x:v>Electrical and Computer Engineering</x:v>
      </x:c>
      <x:c r="F7" s="47" t="str">
        <x:v>Professional Practice</x:v>
      </x:c>
      <x:c r="G7" s="47" t="str"/>
      <x:c r="H7" s="47" t="str"/>
      <x:c r="I7" s="47" t="str">
        <x:v>ACTIVE</x:v>
      </x:c>
      <x:c r="J7" s="47" t="str">
        <x:v>Demo@123</x:v>
      </x:c>
    </x:row>
  </x:sheetData>
  <x:pageMargins left="0.7" right="0.7" top="0.75" bottom="0.75" header="0.3" footer="0.3"/>
  <x:tableParts count="1">
    <x:tablePart xmlns:r="http://schemas.openxmlformats.org/officeDocument/2006/relationships" r:id="R9745b9f6e8fe4b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5.6299991607666" hidden="0" customWidth="1"/>
    <x:col min="3" max="3" width="29.3799991607666" hidden="0" customWidth="1"/>
    <x:col min="4" max="4" width="15.630000114440918" hidden="0" customWidth="1"/>
    <x:col min="5" max="5" width="29.3799991607666" hidden="0" customWidth="1"/>
    <x:col min="6" max="6" width="26.25" hidden="0" customWidth="1"/>
    <x:col min="7" max="7" width="22.5" hidden="0" customWidth="1"/>
    <x:col min="8" max="8" width="21.25" hidden="0" customWidth="1"/>
    <x:col min="9" max="9" width="14.380000114440918" hidden="0" customWidth="1"/>
    <x:col min="10" max="10" width="18.1299991607666" hidden="0" customWidth="1"/>
  </x:cols>
  <x:sheetData>
    <x:row r="1" ht="28.5" customHeight="1">
      <x:c r="A1" s="38" t="str">
        <x:v>Actor ID</x:v>
      </x:c>
      <x:c r="B1" s="39" t="str">
        <x:v>Actor Name</x:v>
      </x:c>
      <x:c r="C1" s="39" t="str">
        <x:v>Email</x:v>
      </x:c>
      <x:c r="D1" s="39" t="str">
        <x:v>Phone</x:v>
      </x:c>
      <x:c r="E1" s="39" t="str">
        <x:v>Department</x:v>
      </x:c>
      <x:c r="F1" s="39" t="str">
        <x:v>Specialization</x:v>
      </x:c>
      <x:c r="G1" s="39" t="str">
        <x:v>Organization</x:v>
      </x:c>
      <x:c r="H1" s="39" t="str">
        <x:v>Access Expires At</x:v>
      </x:c>
      <x:c r="I1" s="39" t="str">
        <x:v>Status</x:v>
      </x:c>
      <x:c r="J1" s="40" t="str">
        <x:v>Temporary Password</x:v>
      </x:c>
    </x:row>
    <x:row r="2" ht="20.25" customHeight="1">
      <x:c r="A2" s="45" t="str">
        <x:v>ORAL-EIC-01</x:v>
      </x:c>
      <x:c r="B2" s="45" t="str">
        <x:v>Tariq Meadow Demo</x:v>
      </x:c>
      <x:c r="C2" s="45" t="str">
        <x:v>oral.eic@squ.edu.om</x:v>
      </x:c>
      <x:c r="D2" s="45" t="str">
        <x:v>+968 9000 3101</x:v>
      </x:c>
      <x:c r="E2" s="45" t="str">
        <x:v>Electrical and Computer Engineering</x:v>
      </x:c>
      <x:c r="F2" s="45" t="str">
        <x:v>Control and Automation</x:v>
      </x:c>
      <x:c r="G2" s="45" t="str"/>
      <x:c r="H2" s="45" t="str"/>
      <x:c r="I2" s="45" t="str">
        <x:v>ACTIVE</x:v>
      </x:c>
      <x:c r="J2" s="45" t="str">
        <x:v>Demo@123</x:v>
      </x:c>
    </x:row>
    <x:row r="3" ht="20.25" customHeight="1">
      <x:c r="A3" s="46" t="str">
        <x:v>ORAL-CSN-01</x:v>
      </x:c>
      <x:c r="B3" s="46" t="str">
        <x:v>Rasha Vector Demo</x:v>
      </x:c>
      <x:c r="C3" s="46" t="str">
        <x:v>oral.csn@squ.edu.om</x:v>
      </x:c>
      <x:c r="D3" s="46" t="str">
        <x:v>+968 9000 3102</x:v>
      </x:c>
      <x:c r="E3" s="46" t="str">
        <x:v>Electrical and Computer Engineering</x:v>
      </x:c>
      <x:c r="F3" s="46" t="str">
        <x:v>Networks</x:v>
      </x:c>
      <x:c r="G3" s="46" t="str"/>
      <x:c r="H3" s="46" t="str"/>
      <x:c r="I3" s="46" t="str">
        <x:v>ACTIVE</x:v>
      </x:c>
      <x:c r="J3" s="46" t="str">
        <x:v>Demo@123</x:v>
      </x:c>
    </x:row>
    <x:row r="4" ht="20.25" customHeight="1">
      <x:c r="A4" s="46" t="str">
        <x:v>ORAL-CSP-01</x:v>
      </x:c>
      <x:c r="B4" s="46" t="str">
        <x:v>Basel Grove Demo</x:v>
      </x:c>
      <x:c r="C4" s="46" t="str">
        <x:v>oral.csp@squ.edu.om</x:v>
      </x:c>
      <x:c r="D4" s="46" t="str">
        <x:v>+968 9000 3103</x:v>
      </x:c>
      <x:c r="E4" s="46" t="str">
        <x:v>Electrical and Computer Engineering</x:v>
      </x:c>
      <x:c r="F4" s="46" t="str">
        <x:v>Computer Systems</x:v>
      </x:c>
      <x:c r="G4" s="46" t="str"/>
      <x:c r="H4" s="46" t="str"/>
      <x:c r="I4" s="46" t="str">
        <x:v>ACTIVE</x:v>
      </x:c>
      <x:c r="J4" s="46" t="str">
        <x:v>Demo@123</x:v>
      </x:c>
    </x:row>
    <x:row r="5" ht="20.25" customHeight="1">
      <x:c r="A5" s="46" t="str">
        <x:v>ORAL-PSE-01</x:v>
      </x:c>
      <x:c r="B5" s="46" t="str">
        <x:v>Nadia Current Demo</x:v>
      </x:c>
      <x:c r="C5" s="46" t="str">
        <x:v>oral.pse@squ.edu.om</x:v>
      </x:c>
      <x:c r="D5" s="46" t="str">
        <x:v>+968 9000 3104</x:v>
      </x:c>
      <x:c r="E5" s="46" t="str">
        <x:v>Electrical and Computer Engineering</x:v>
      </x:c>
      <x:c r="F5" s="46" t="str">
        <x:v>Electrical Power</x:v>
      </x:c>
      <x:c r="G5" s="46" t="str"/>
      <x:c r="H5" s="46" t="str"/>
      <x:c r="I5" s="46" t="str">
        <x:v>ACTIVE</x:v>
      </x:c>
      <x:c r="J5" s="46" t="str">
        <x:v>Demo@123</x:v>
      </x:c>
    </x:row>
    <x:row r="6" ht="20.25" customHeight="1">
      <x:c r="A6" s="46" t="str">
        <x:v>ORAL-CROSS-01</x:v>
      </x:c>
      <x:c r="B6" s="46" t="str">
        <x:v>Samir North Demo</x:v>
      </x:c>
      <x:c r="C6" s="46" t="str">
        <x:v>oral.cross1@squ.edu.om</x:v>
      </x:c>
      <x:c r="D6" s="46" t="str">
        <x:v>+968 9000 3105</x:v>
      </x:c>
      <x:c r="E6" s="46" t="str">
        <x:v>Electrical and Computer Engineering</x:v>
      </x:c>
      <x:c r="F6" s="46" t="str">
        <x:v>Systems Engineering</x:v>
      </x:c>
      <x:c r="G6" s="46" t="str"/>
      <x:c r="H6" s="46" t="str"/>
      <x:c r="I6" s="46" t="str">
        <x:v>ACTIVE</x:v>
      </x:c>
      <x:c r="J6" s="46" t="str">
        <x:v>Demo@123</x:v>
      </x:c>
    </x:row>
    <x:row r="7" ht="20.25" customHeight="1">
      <x:c r="A7" s="47" t="str">
        <x:v>ORAL-CROSS-02</x:v>
      </x:c>
      <x:c r="B7" s="47" t="str">
        <x:v>Farah Loom Demo</x:v>
      </x:c>
      <x:c r="C7" s="47" t="str">
        <x:v>oral.cross2@squ.edu.om</x:v>
      </x:c>
      <x:c r="D7" s="47" t="str">
        <x:v>+968 9000 3106</x:v>
      </x:c>
      <x:c r="E7" s="47" t="str">
        <x:v>Electrical and Computer Engineering</x:v>
      </x:c>
      <x:c r="F7" s="47" t="str">
        <x:v>Innovation Management</x:v>
      </x:c>
      <x:c r="G7" s="47" t="str"/>
      <x:c r="H7" s="47" t="str"/>
      <x:c r="I7" s="47" t="str">
        <x:v>ACTIVE</x:v>
      </x:c>
      <x:c r="J7" s="47" t="str">
        <x:v>Demo@123</x:v>
      </x:c>
    </x:row>
  </x:sheetData>
  <x:pageMargins left="0.7" right="0.7" top="0.75" bottom="0.75" header="0.3" footer="0.3"/>
  <x:tableParts count="1">
    <x:tablePart xmlns:r="http://schemas.openxmlformats.org/officeDocument/2006/relationships" r:id="Rf979912c85c845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5.6299991607666" hidden="0" customWidth="1"/>
    <x:col min="3" max="3" width="29.3799991607666" hidden="0" customWidth="1"/>
    <x:col min="4" max="4" width="15.630000114440918" hidden="0" customWidth="1"/>
    <x:col min="5" max="5" width="18.75" hidden="0" customWidth="1"/>
    <x:col min="6" max="6" width="22.5" hidden="0" customWidth="1"/>
    <x:col min="7" max="7" width="31.25" hidden="0" customWidth="1"/>
    <x:col min="8" max="8" width="21.25" hidden="0" customWidth="1"/>
    <x:col min="9" max="9" width="18.75" hidden="0" customWidth="1"/>
    <x:col min="10" max="10" width="18.1299991607666" hidden="0" customWidth="1"/>
  </x:cols>
  <x:sheetData>
    <x:row r="1" ht="28.5" customHeight="1">
      <x:c r="A1" s="38" t="str">
        <x:v>Actor ID</x:v>
      </x:c>
      <x:c r="B1" s="39" t="str">
        <x:v>Actor Name</x:v>
      </x:c>
      <x:c r="C1" s="39" t="str">
        <x:v>Email</x:v>
      </x:c>
      <x:c r="D1" s="39" t="str">
        <x:v>Phone</x:v>
      </x:c>
      <x:c r="E1" s="39" t="str">
        <x:v>Department</x:v>
      </x:c>
      <x:c r="F1" s="39" t="str">
        <x:v>Specialization</x:v>
      </x:c>
      <x:c r="G1" s="39" t="str">
        <x:v>Organization</x:v>
      </x:c>
      <x:c r="H1" s="39" t="str">
        <x:v>Access Expires At</x:v>
      </x:c>
      <x:c r="I1" s="39" t="str">
        <x:v>Status</x:v>
      </x:c>
      <x:c r="J1" s="40" t="str">
        <x:v>Temporary Password</x:v>
      </x:c>
    </x:row>
    <x:row r="2" ht="20.25" customHeight="1">
      <x:c r="A2" s="45" t="str">
        <x:v>IND-DEMO-01</x:v>
      </x:c>
      <x:c r="B2" s="45" t="str">
        <x:v>Layla Forge Demo</x:v>
      </x:c>
      <x:c r="C2" s="45" t="str">
        <x:v>guest.energy@example.org</x:v>
      </x:c>
      <x:c r="D2" s="45" t="str">
        <x:v>+968 9000 4101</x:v>
      </x:c>
      <x:c r="E2" s="45" t="str"/>
      <x:c r="F2" s="45" t="str">
        <x:v>Industrial Evaluation</x:v>
      </x:c>
      <x:c r="G2" s="45" t="str">
        <x:v>Future Energy Labs (Fictional)</x:v>
      </x:c>
      <x:c r="H2" s="45" t="str">
        <x:v>2027-12-31T23:59</x:v>
      </x:c>
      <x:c r="I2" s="45" t="str">
        <x:v>PENDING_INVITATION</x:v>
      </x:c>
      <x:c r="J2" s="45" t="str"/>
    </x:row>
    <x:row r="3" ht="20.25" customHeight="1">
      <x:c r="A3" s="46" t="str">
        <x:v>IND-DEMO-02</x:v>
      </x:c>
      <x:c r="B3" s="46" t="str">
        <x:v>Rami Circuit Demo</x:v>
      </x:c>
      <x:c r="C3" s="46" t="str">
        <x:v>guest.telecom@example.org</x:v>
      </x:c>
      <x:c r="D3" s="46" t="str">
        <x:v>+968 9000 4102</x:v>
      </x:c>
      <x:c r="E3" s="46" t="str"/>
      <x:c r="F3" s="46" t="str">
        <x:v>Industrial Evaluation</x:v>
      </x:c>
      <x:c r="G3" s="46" t="str">
        <x:v>Signal Bridge LLC (Fictional)</x:v>
      </x:c>
      <x:c r="H3" s="46" t="str">
        <x:v>2027-12-31T23:59</x:v>
      </x:c>
      <x:c r="I3" s="46" t="str">
        <x:v>PENDING_INVITATION</x:v>
      </x:c>
      <x:c r="J3" s="46" t="str"/>
    </x:row>
    <x:row r="4" ht="20.25" customHeight="1">
      <x:c r="A4" s="46" t="str">
        <x:v>IND-DEMO-03</x:v>
      </x:c>
      <x:c r="B4" s="46" t="str">
        <x:v>Mona Pixel Demo</x:v>
      </x:c>
      <x:c r="C4" s="46" t="str">
        <x:v>guest.digital@example.org</x:v>
      </x:c>
      <x:c r="D4" s="46" t="str">
        <x:v>+968 9000 4103</x:v>
      </x:c>
      <x:c r="E4" s="46" t="str"/>
      <x:c r="F4" s="46" t="str">
        <x:v>Industrial Evaluation</x:v>
      </x:c>
      <x:c r="G4" s="46" t="str">
        <x:v>Digital Coast Studio (Fictional)</x:v>
      </x:c>
      <x:c r="H4" s="46" t="str">
        <x:v>2027-12-31T23:59</x:v>
      </x:c>
      <x:c r="I4" s="46" t="str">
        <x:v>PENDING_INVITATION</x:v>
      </x:c>
      <x:c r="J4" s="46" t="str"/>
    </x:row>
    <x:row r="5" ht="20.25" customHeight="1">
      <x:c r="A5" s="46" t="str">
        <x:v>IND-DEMO-04</x:v>
      </x:c>
      <x:c r="B5" s="46" t="str">
        <x:v>Sami Relay Demo</x:v>
      </x:c>
      <x:c r="C5" s="46" t="str">
        <x:v>guest.automation@example.org</x:v>
      </x:c>
      <x:c r="D5" s="46" t="str">
        <x:v>+968 9000 4104</x:v>
      </x:c>
      <x:c r="E5" s="46" t="str"/>
      <x:c r="F5" s="46" t="str">
        <x:v>Industrial Evaluation</x:v>
      </x:c>
      <x:c r="G5" s="46" t="str">
        <x:v>Automation Works Lab (Fictional)</x:v>
      </x:c>
      <x:c r="H5" s="46" t="str">
        <x:v>2027-12-31T23:59</x:v>
      </x:c>
      <x:c r="I5" s="46" t="str">
        <x:v>PENDING_INVITATION</x:v>
      </x:c>
      <x:c r="J5" s="46" t="str"/>
    </x:row>
    <x:row r="6" ht="20.25" customHeight="1">
      <x:c r="A6" s="47" t="str">
        <x:v>IND-DEMO-05</x:v>
      </x:c>
      <x:c r="B6" s="47" t="str">
        <x:v>Hana Venture Demo</x:v>
      </x:c>
      <x:c r="C6" s="47" t="str">
        <x:v>guest.innovation@example.org</x:v>
      </x:c>
      <x:c r="D6" s="47" t="str">
        <x:v>+968 9000 4105</x:v>
      </x:c>
      <x:c r="E6" s="47" t="str"/>
      <x:c r="F6" s="47" t="str">
        <x:v>Industrial Evaluation</x:v>
      </x:c>
      <x:c r="G6" s="47" t="str">
        <x:v>Innovation Harbor Group (Fictional)</x:v>
      </x:c>
      <x:c r="H6" s="47" t="str">
        <x:v>2027-12-31T23:59</x:v>
      </x:c>
      <x:c r="I6" s="47" t="str">
        <x:v>PENDING_INVITATION</x:v>
      </x:c>
      <x:c r="J6" s="47" t="str"/>
    </x:row>
  </x:sheetData>
  <x:pageMargins left="0.7" right="0.7" top="0.75" bottom="0.75" header="0.3" footer="0.3"/>
  <x:tableParts count="1">
    <x:tablePart xmlns:r="http://schemas.openxmlformats.org/officeDocument/2006/relationships" r:id="Rc195569809af47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.25" hidden="0" customWidth="1"/>
    <x:col min="3" max="3" width="15" hidden="0" customWidth="1"/>
    <x:col min="4" max="4" width="21.25" hidden="0" customWidth="1"/>
    <x:col min="5" max="5" width="21.25" hidden="0" customWidth="1"/>
    <x:col min="6" max="6" width="16.25" hidden="0" customWidth="1"/>
  </x:cols>
  <x:sheetData>
    <x:row r="1" ht="28.5" customHeight="1">
      <x:c r="A1" s="38" t="str">
        <x:v>Phase Type</x:v>
      </x:c>
      <x:c r="B1" s="39" t="str">
        <x:v>Phase Name</x:v>
      </x:c>
      <x:c r="C1" s="39" t="str">
        <x:v>Academic Year</x:v>
      </x:c>
      <x:c r="D1" s="39" t="str">
        <x:v>Start Date</x:v>
      </x:c>
      <x:c r="E1" s="39" t="str">
        <x:v>Deadline</x:v>
      </x:c>
      <x:c r="F1" s="40" t="str">
        <x:v>Status</x:v>
      </x:c>
    </x:row>
    <x:row r="2" ht="20.25" customHeight="1">
      <x:c r="A2" s="45" t="str">
        <x:v>PHASE_I</x:v>
      </x:c>
      <x:c r="B2" s="45" t="str">
        <x:v>FYP I - Demo Cycle</x:v>
      </x:c>
      <x:c r="C2" s="45" t="str">
        <x:v>2026</x:v>
      </x:c>
      <x:c r="D2" s="45" t="str">
        <x:v>2026-08-01T08:00</x:v>
      </x:c>
      <x:c r="E2" s="45" t="str">
        <x:v>2026-09-30T23:59</x:v>
      </x:c>
      <x:c r="F2" s="45" t="str">
        <x:v>OPEN</x:v>
      </x:c>
    </x:row>
    <x:row r="3" ht="20.25" customHeight="1">
      <x:c r="A3" s="46" t="str">
        <x:v>PHASE_II</x:v>
      </x:c>
      <x:c r="B3" s="46" t="str">
        <x:v>FYP II - Demo Cycle</x:v>
      </x:c>
      <x:c r="C3" s="46" t="str">
        <x:v>2026</x:v>
      </x:c>
      <x:c r="D3" s="46" t="str">
        <x:v>2027-01-15T08:00</x:v>
      </x:c>
      <x:c r="E3" s="46" t="str">
        <x:v>2027-05-15T23:59</x:v>
      </x:c>
      <x:c r="F3" s="46" t="str">
        <x:v>NOT_STARTED</x:v>
      </x:c>
    </x:row>
    <x:row r="4" ht="20.25" customHeight="1">
      <x:c r="A4" s="46" t="str">
        <x:v>PHASE_I</x:v>
      </x:c>
      <x:c r="B4" s="46" t="str">
        <x:v>FYP I - Archived Example</x:v>
      </x:c>
      <x:c r="C4" s="46" t="str">
        <x:v>2025</x:v>
      </x:c>
      <x:c r="D4" s="46" t="str">
        <x:v>2025-08-01T08:00</x:v>
      </x:c>
      <x:c r="E4" s="46" t="str">
        <x:v>2025-10-01T23:59</x:v>
      </x:c>
      <x:c r="F4" s="46" t="str">
        <x:v>ARCHIVED</x:v>
      </x:c>
    </x:row>
    <x:row r="5" ht="20.25" customHeight="1">
      <x:c r="A5" s="47" t="str">
        <x:v>PHASE_II</x:v>
      </x:c>
      <x:c r="B5" s="47" t="str">
        <x:v>FYP II - Closed Example</x:v>
      </x:c>
      <x:c r="C5" s="47" t="str">
        <x:v>2025</x:v>
      </x:c>
      <x:c r="D5" s="47" t="str">
        <x:v>2026-01-15T08:00</x:v>
      </x:c>
      <x:c r="E5" s="47" t="str">
        <x:v>2026-05-15T23:59</x:v>
      </x:c>
      <x:c r="F5" s="47" t="str">
        <x:v>CLOSED</x:v>
      </x:c>
    </x:row>
  </x:sheetData>
  <x:dataValidations count="2">
    <x:dataValidation type="list" sqref="A2:A100">
      <x:formula1>"PHASE_I,PHASE_II"</x:formula1>
    </x:dataValidation>
    <x:dataValidation type="list" sqref="F2:F100">
      <x:formula1>"NOT_STARTED,OPEN,CLOSED,ARCHIVED"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dbb74f8b64421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0.630000114440918" hidden="0" customWidth="1"/>
    <x:col min="3" max="3" width="14.380000114440918" hidden="0" customWidth="1"/>
    <x:col min="4" max="4" width="33.75" hidden="0" customWidth="1"/>
    <x:col min="5" max="5" width="52.5" hidden="0" customWidth="1"/>
    <x:col min="6" max="6" width="10.630000114440918" hidden="0" customWidth="1"/>
    <x:col min="7" max="7" width="11.880000114440918" hidden="0" customWidth="1"/>
    <x:col min="8" max="8" width="23.75" hidden="0" customWidth="1"/>
    <x:col min="9" max="9" width="15" hidden="0" customWidth="1"/>
    <x:col min="10" max="10" width="23.75" hidden="0" customWidth="1"/>
    <x:col min="11" max="11" width="35" hidden="0" customWidth="1"/>
    <x:col min="12" max="12" width="35" hidden="0" customWidth="1"/>
    <x:col min="13" max="13" width="35" hidden="0" customWidth="1"/>
    <x:col min="14" max="14" width="35" hidden="0" customWidth="1"/>
    <x:col min="15" max="15" width="35" hidden="0" customWidth="1"/>
  </x:cols>
  <x:sheetData>
    <x:row r="1" ht="28.5" customHeight="1">
      <x:c r="A1" s="38" t="str">
        <x:v>Cohort</x:v>
      </x:c>
      <x:c r="B1" s="39" t="str">
        <x:v>Track Code</x:v>
      </x:c>
      <x:c r="C1" s="39" t="str">
        <x:v>Project Number</x:v>
      </x:c>
      <x:c r="D1" s="39" t="str">
        <x:v>Project Title</x:v>
      </x:c>
      <x:c r="E1" s="39" t="str">
        <x:v>Project Abstract</x:v>
      </x:c>
      <x:c r="F1" s="39" t="str">
        <x:v>Section</x:v>
      </x:c>
      <x:c r="G1" s="39" t="str">
        <x:v>Student ID</x:v>
      </x:c>
      <x:c r="H1" s="39" t="str">
        <x:v>Student Name</x:v>
      </x:c>
      <x:c r="I1" s="39" t="str">
        <x:v>Supervisor ID</x:v>
      </x:c>
      <x:c r="J1" s="39" t="str">
        <x:v>Supervisor Name</x:v>
      </x:c>
      <x:c r="K1" s="39" t="str">
        <x:v>Report Phase I Evaluator Emails</x:v>
      </x:c>
      <x:c r="L1" s="39" t="str">
        <x:v>Oral Phase I Evaluator Emails</x:v>
      </x:c>
      <x:c r="M1" s="39" t="str">
        <x:v>Report Phase II Evaluator Emails</x:v>
      </x:c>
      <x:c r="N1" s="39" t="str">
        <x:v>Oral Phase II Evaluator Emails</x:v>
      </x:c>
      <x:c r="O1" s="40" t="str">
        <x:v>Industry Guest Emails</x:v>
      </x:c>
    </x:row>
    <x:row r="2" ht="42" customHeight="1">
      <x:c r="A2" s="45" t="str">
        <x:v>2026</x:v>
      </x:c>
      <x:c r="B2" s="45" t="str">
        <x:v>EIC</x:v>
      </x:c>
      <x:c r="C2" s="45" t="str">
        <x:v>EIC-01</x:v>
      </x:c>
      <x:c r="D2" s="48" t="str">
        <x:v>Adaptive Greenhouse Control Platform</x:v>
      </x:c>
      <x:c r="E2" s="48" t="str">
        <x:v>A sensor-driven control platform that optimizes irrigation, climate and energy use in protected agriculture.</x:v>
      </x:c>
      <x:c r="F2" s="45" t="str">
        <x:v>EIC-A</x:v>
      </x:c>
      <x:c r="G2" s="45" t="str">
        <x:v>260001</x:v>
      </x:c>
      <x:c r="H2" s="45" t="str">
        <x:v>Alya Nadir Demo</x:v>
      </x:c>
      <x:c r="I2" s="45" t="str">
        <x:v>SUP-EIC-01</x:v>
      </x:c>
      <x:c r="J2" s="45" t="str">
        <x:v>Noura Atlas Demo</x:v>
      </x:c>
      <x:c r="K2" s="48" t="str">
        <x:v>report.eic@squ.edu.om; report.cross1@squ.edu.om</x:v>
      </x:c>
      <x:c r="L2" s="48" t="str">
        <x:v>oral.eic@squ.edu.om; oral.cross1@squ.edu.om</x:v>
      </x:c>
      <x:c r="M2" s="48" t="str">
        <x:v>report.eic@squ.edu.om; report.cross2@squ.edu.om</x:v>
      </x:c>
      <x:c r="N2" s="48" t="str">
        <x:v>oral.eic@squ.edu.om; oral.cross2@squ.edu.om</x:v>
      </x:c>
      <x:c r="O2" s="48" t="str">
        <x:v>guest.automation@example.org; guest.innovation@example.org</x:v>
      </x:c>
    </x:row>
    <x:row r="3" ht="42" customHeight="1">
      <x:c r="A3" s="46" t="str"/>
      <x:c r="B3" s="46" t="str"/>
      <x:c r="C3" s="46" t="str"/>
      <x:c r="D3" s="49" t="str"/>
      <x:c r="E3" s="49" t="str"/>
      <x:c r="F3" s="46" t="str"/>
      <x:c r="G3" s="46" t="str">
        <x:v>260002</x:v>
      </x:c>
      <x:c r="H3" s="46" t="str">
        <x:v>Omar Rayyan Demo</x:v>
      </x:c>
      <x:c r="I3" s="46" t="str">
        <x:v>SUP-EIC-02</x:v>
      </x:c>
      <x:c r="J3" s="46" t="str">
        <x:v>Kareem Cedar Demo</x:v>
      </x:c>
      <x:c r="K3" s="49" t="str"/>
      <x:c r="L3" s="49" t="str"/>
      <x:c r="M3" s="49" t="str"/>
      <x:c r="N3" s="49" t="str"/>
      <x:c r="O3" s="49" t="str"/>
    </x:row>
    <x:row r="4" ht="42" customHeight="1">
      <x:c r="A4" s="46" t="str"/>
      <x:c r="B4" s="46" t="str"/>
      <x:c r="C4" s="46" t="str"/>
      <x:c r="D4" s="49" t="str"/>
      <x:c r="E4" s="49" t="str"/>
      <x:c r="F4" s="46" t="str"/>
      <x:c r="G4" s="46" t="str">
        <x:v>260003</x:v>
      </x:c>
      <x:c r="H4" s="46" t="str">
        <x:v>Noor Hadi Demo</x:v>
      </x:c>
      <x:c r="I4" s="46" t="str"/>
      <x:c r="J4" s="46" t="str"/>
      <x:c r="K4" s="49" t="str"/>
      <x:c r="L4" s="49" t="str"/>
      <x:c r="M4" s="49" t="str"/>
      <x:c r="N4" s="49" t="str"/>
      <x:c r="O4" s="49" t="str"/>
    </x:row>
    <x:row r="5" ht="42" customHeight="1">
      <x:c r="A5" s="46" t="str"/>
      <x:c r="B5" s="46" t="str"/>
      <x:c r="C5" s="46" t="str"/>
      <x:c r="D5" s="49" t="str"/>
      <x:c r="E5" s="49" t="str"/>
      <x:c r="F5" s="46" t="str"/>
      <x:c r="G5" s="46" t="str">
        <x:v>260004</x:v>
      </x:c>
      <x:c r="H5" s="46" t="str">
        <x:v>Layan Sami Demo</x:v>
      </x:c>
      <x:c r="I5" s="46" t="str"/>
      <x:c r="J5" s="46" t="str"/>
      <x:c r="K5" s="49" t="str"/>
      <x:c r="L5" s="49" t="str"/>
      <x:c r="M5" s="49" t="str"/>
      <x:c r="N5" s="49" t="str"/>
      <x:c r="O5" s="49" t="str"/>
    </x:row>
    <x:row r="6" ht="42" customHeight="1">
      <x:c r="A6" s="46" t="str"/>
      <x:c r="B6" s="46" t="str"/>
      <x:c r="C6" s="46" t="str"/>
      <x:c r="D6" s="49" t="str"/>
      <x:c r="E6" s="49" t="str"/>
      <x:c r="F6" s="46" t="str"/>
      <x:c r="G6" s="46" t="str">
        <x:v>260005</x:v>
      </x:c>
      <x:c r="H6" s="46" t="str">
        <x:v>Zayd Kareem Demo</x:v>
      </x:c>
      <x:c r="I6" s="46" t="str"/>
      <x:c r="J6" s="46" t="str"/>
      <x:c r="K6" s="49" t="str"/>
      <x:c r="L6" s="49" t="str"/>
      <x:c r="M6" s="49" t="str"/>
      <x:c r="N6" s="49" t="str"/>
      <x:c r="O6" s="49" t="str"/>
    </x:row>
    <x:row r="7" ht="42" customHeight="1">
      <x:c r="A7" s="46" t="str">
        <x:v>2026</x:v>
      </x:c>
      <x:c r="B7" s="46" t="str">
        <x:v>EIC</x:v>
      </x:c>
      <x:c r="C7" s="46" t="str">
        <x:v>EIC-02</x:v>
      </x:c>
      <x:c r="D7" s="49" t="str">
        <x:v>Smart Laboratory Safety Monitor</x:v>
      </x:c>
      <x:c r="E7" s="49" t="str">
        <x:v>An instrumentation node that detects unsafe electrical, thermal and air-quality conditions in teaching laboratories.</x:v>
      </x:c>
      <x:c r="F7" s="46" t="str">
        <x:v>EIC-B</x:v>
      </x:c>
      <x:c r="G7" s="46" t="str">
        <x:v>260006</x:v>
      </x:c>
      <x:c r="H7" s="46" t="str">
        <x:v>Mira Qasim Demo</x:v>
      </x:c>
      <x:c r="I7" s="46" t="str">
        <x:v>SUP-EIC-02</x:v>
      </x:c>
      <x:c r="J7" s="46" t="str">
        <x:v>Kareem Cedar Demo</x:v>
      </x:c>
      <x:c r="K7" s="49" t="str">
        <x:v>report.eic@squ.edu.om</x:v>
      </x:c>
      <x:c r="L7" s="49" t="str">
        <x:v>oral.eic@squ.edu.om</x:v>
      </x:c>
      <x:c r="M7" s="49" t="str">
        <x:v>report.cross1@squ.edu.om</x:v>
      </x:c>
      <x:c r="N7" s="49" t="str">
        <x:v>oral.cross1@squ.edu.om</x:v>
      </x:c>
      <x:c r="O7" s="49" t="str">
        <x:v>guest.automation@example.org</x:v>
      </x:c>
    </x:row>
    <x:row r="8" ht="42" customHeight="1">
      <x:c r="A8" s="46" t="str">
        <x:v>2026</x:v>
      </x:c>
      <x:c r="B8" s="46" t="str">
        <x:v>CSN</x:v>
      </x:c>
      <x:c r="C8" s="46" t="str">
        <x:v>CSN-01</x:v>
      </x:c>
      <x:c r="D8" s="49" t="str">
        <x:v>Resilient Campus Emergency Network</x:v>
      </x:c>
      <x:c r="E8" s="49" t="str">
        <x:v>A self-healing wireless communication system for resilient emergency messaging across a university campus.</x:v>
      </x:c>
      <x:c r="F8" s="46" t="str">
        <x:v>CSN-A</x:v>
      </x:c>
      <x:c r="G8" s="46" t="str">
        <x:v>260007</x:v>
      </x:c>
      <x:c r="H8" s="46" t="str">
        <x:v>Rami Jaleel Demo</x:v>
      </x:c>
      <x:c r="I8" s="46" t="str">
        <x:v>SUP-CSN-01</x:v>
      </x:c>
      <x:c r="J8" s="46" t="str">
        <x:v>Salma Orion Demo</x:v>
      </x:c>
      <x:c r="K8" s="49" t="str">
        <x:v>report.csn@squ.edu.om; report.cross2@squ.edu.om</x:v>
      </x:c>
      <x:c r="L8" s="49" t="str">
        <x:v>oral.csn@squ.edu.om; oral.cross1@squ.edu.om</x:v>
      </x:c>
      <x:c r="M8" s="49" t="str">
        <x:v>report.csn@squ.edu.om; report.cross1@squ.edu.om</x:v>
      </x:c>
      <x:c r="N8" s="49" t="str">
        <x:v>oral.csn@squ.edu.om; oral.cross2@squ.edu.om</x:v>
      </x:c>
      <x:c r="O8" s="49" t="str">
        <x:v>guest.telecom@example.org; guest.innovation@example.org</x:v>
      </x:c>
    </x:row>
    <x:row r="9" ht="42" customHeight="1">
      <x:c r="A9" s="46" t="str"/>
      <x:c r="B9" s="46" t="str"/>
      <x:c r="C9" s="46" t="str"/>
      <x:c r="D9" s="49" t="str"/>
      <x:c r="E9" s="49" t="str"/>
      <x:c r="F9" s="46" t="str"/>
      <x:c r="G9" s="46" t="str">
        <x:v>260008</x:v>
      </x:c>
      <x:c r="H9" s="46" t="str">
        <x:v>Dana Faris Demo</x:v>
      </x:c>
      <x:c r="I9" s="46" t="str">
        <x:v>SUP-CSN-02</x:v>
      </x:c>
      <x:c r="J9" s="46" t="str">
        <x:v>Yousef Flint Demo</x:v>
      </x:c>
      <x:c r="K9" s="49" t="str"/>
      <x:c r="L9" s="49" t="str"/>
      <x:c r="M9" s="49" t="str"/>
      <x:c r="N9" s="49" t="str"/>
      <x:c r="O9" s="49" t="str"/>
    </x:row>
    <x:row r="10" ht="42" customHeight="1">
      <x:c r="A10" s="46" t="str"/>
      <x:c r="B10" s="46" t="str"/>
      <x:c r="C10" s="46" t="str"/>
      <x:c r="D10" s="49" t="str"/>
      <x:c r="E10" s="49" t="str"/>
      <x:c r="F10" s="46" t="str"/>
      <x:c r="G10" s="46" t="str">
        <x:v>260009</x:v>
      </x:c>
      <x:c r="H10" s="46" t="str">
        <x:v>Sami Waleed Demo</x:v>
      </x:c>
      <x:c r="I10" s="46" t="str"/>
      <x:c r="J10" s="46" t="str"/>
      <x:c r="K10" s="49" t="str"/>
      <x:c r="L10" s="49" t="str"/>
      <x:c r="M10" s="49" t="str"/>
      <x:c r="N10" s="49" t="str"/>
      <x:c r="O10" s="49" t="str"/>
    </x:row>
    <x:row r="11" ht="42" customHeight="1">
      <x:c r="A11" s="46" t="str"/>
      <x:c r="B11" s="46" t="str"/>
      <x:c r="C11" s="46" t="str"/>
      <x:c r="D11" s="49" t="str"/>
      <x:c r="E11" s="49" t="str"/>
      <x:c r="F11" s="46" t="str"/>
      <x:c r="G11" s="46" t="str">
        <x:v>260010</x:v>
      </x:c>
      <x:c r="H11" s="46" t="str">
        <x:v>Hana Raed Demo</x:v>
      </x:c>
      <x:c r="I11" s="46" t="str"/>
      <x:c r="J11" s="46" t="str"/>
      <x:c r="K11" s="49" t="str"/>
      <x:c r="L11" s="49" t="str"/>
      <x:c r="M11" s="49" t="str"/>
      <x:c r="N11" s="49" t="str"/>
      <x:c r="O11" s="49" t="str"/>
    </x:row>
    <x:row r="12" ht="42" customHeight="1">
      <x:c r="A12" s="46" t="str">
        <x:v>2026</x:v>
      </x:c>
      <x:c r="B12" s="46" t="str">
        <x:v>CSN</x:v>
      </x:c>
      <x:c r="C12" s="46" t="str">
        <x:v>CSN-02</x:v>
      </x:c>
      <x:c r="D12" s="49" t="str">
        <x:v>Acoustic Event Detection for Smart Buildings</x:v>
      </x:c>
      <x:c r="E12" s="49" t="str">
        <x:v>An edge signal-processing system that recognizes critical acoustic events while preserving privacy.</x:v>
      </x:c>
      <x:c r="F12" s="46" t="str">
        <x:v>CSN-B</x:v>
      </x:c>
      <x:c r="G12" s="46" t="str">
        <x:v>260011</x:v>
      </x:c>
      <x:c r="H12" s="46" t="str">
        <x:v>Tala Naim Demo</x:v>
      </x:c>
      <x:c r="I12" s="46" t="str">
        <x:v>SUP-CSN-01</x:v>
      </x:c>
      <x:c r="J12" s="46" t="str">
        <x:v>Salma Orion Demo</x:v>
      </x:c>
      <x:c r="K12" s="49" t="str">
        <x:v>report.csn@squ.edu.om</x:v>
      </x:c>
      <x:c r="L12" s="49" t="str">
        <x:v>oral.csn@squ.edu.om</x:v>
      </x:c>
      <x:c r="M12" s="49" t="str">
        <x:v>report.cross2@squ.edu.om</x:v>
      </x:c>
      <x:c r="N12" s="49" t="str">
        <x:v>oral.cross2@squ.edu.om</x:v>
      </x:c>
      <x:c r="O12" s="49" t="str">
        <x:v>guest.telecom@example.org</x:v>
      </x:c>
    </x:row>
    <x:row r="13" ht="42" customHeight="1">
      <x:c r="A13" s="46" t="str"/>
      <x:c r="B13" s="46" t="str"/>
      <x:c r="C13" s="46" t="str"/>
      <x:c r="D13" s="49" t="str"/>
      <x:c r="E13" s="49" t="str"/>
      <x:c r="F13" s="46" t="str"/>
      <x:c r="G13" s="46" t="str">
        <x:v>260012</x:v>
      </x:c>
      <x:c r="H13" s="46" t="str">
        <x:v>Yazan Basel Demo</x:v>
      </x:c>
      <x:c r="I13" s="46" t="str"/>
      <x:c r="J13" s="46" t="str"/>
      <x:c r="K13" s="49" t="str"/>
      <x:c r="L13" s="49" t="str"/>
      <x:c r="M13" s="49" t="str"/>
      <x:c r="N13" s="49" t="str"/>
      <x:c r="O13" s="49" t="str"/>
    </x:row>
    <x:row r="14" ht="42" customHeight="1">
      <x:c r="A14" s="46" t="str">
        <x:v>2026</x:v>
      </x:c>
      <x:c r="B14" s="46" t="str">
        <x:v>CSP</x:v>
      </x:c>
      <x:c r="C14" s="46" t="str">
        <x:v>CSP-01</x:v>
      </x:c>
      <x:c r="D14" s="49" t="str">
        <x:v>Accessible Indoor Navigation Assistant</x:v>
      </x:c>
      <x:c r="E14" s="49" t="str">
        <x:v>A privacy-aware mobile and embedded platform for accessible navigation inside complex academic buildings.</x:v>
      </x:c>
      <x:c r="F14" s="46" t="str">
        <x:v>CSP-A</x:v>
      </x:c>
      <x:c r="G14" s="46" t="str">
        <x:v>260013</x:v>
      </x:c>
      <x:c r="H14" s="46" t="str">
        <x:v>Jana Munir Demo</x:v>
      </x:c>
      <x:c r="I14" s="46" t="str">
        <x:v>SUP-CSP-01</x:v>
      </x:c>
      <x:c r="J14" s="46" t="str">
        <x:v>Dalia Quartz Demo</x:v>
      </x:c>
      <x:c r="K14" s="49" t="str">
        <x:v>report.csp@squ.edu.om; report.cross1@squ.edu.om</x:v>
      </x:c>
      <x:c r="L14" s="49" t="str">
        <x:v>oral.csp@squ.edu.om; oral.cross2@squ.edu.om</x:v>
      </x:c>
      <x:c r="M14" s="49" t="str">
        <x:v>report.csp@squ.edu.om; report.cross2@squ.edu.om</x:v>
      </x:c>
      <x:c r="N14" s="49" t="str">
        <x:v>oral.csp@squ.edu.om; oral.cross1@squ.edu.om</x:v>
      </x:c>
      <x:c r="O14" s="49" t="str">
        <x:v>guest.digital@example.org; guest.innovation@example.org</x:v>
      </x:c>
    </x:row>
    <x:row r="15" ht="42" customHeight="1">
      <x:c r="A15" s="46" t="str"/>
      <x:c r="B15" s="46" t="str"/>
      <x:c r="C15" s="46" t="str"/>
      <x:c r="D15" s="49" t="str"/>
      <x:c r="E15" s="49" t="str"/>
      <x:c r="F15" s="46" t="str"/>
      <x:c r="G15" s="46" t="str">
        <x:v>260014</x:v>
      </x:c>
      <x:c r="H15" s="46" t="str">
        <x:v>Adam Zahir Demo</x:v>
      </x:c>
      <x:c r="I15" s="46" t="str">
        <x:v>SUP-CSP-02</x:v>
      </x:c>
      <x:c r="J15" s="46" t="str">
        <x:v>Hadi Brook Demo</x:v>
      </x:c>
      <x:c r="K15" s="49" t="str"/>
      <x:c r="L15" s="49" t="str"/>
      <x:c r="M15" s="49" t="str"/>
      <x:c r="N15" s="49" t="str"/>
      <x:c r="O15" s="49" t="str"/>
    </x:row>
    <x:row r="16" ht="42" customHeight="1">
      <x:c r="A16" s="46" t="str"/>
      <x:c r="B16" s="46" t="str"/>
      <x:c r="C16" s="46" t="str"/>
      <x:c r="D16" s="49" t="str"/>
      <x:c r="E16" s="49" t="str"/>
      <x:c r="F16" s="46" t="str"/>
      <x:c r="G16" s="46" t="str">
        <x:v>260015</x:v>
      </x:c>
      <x:c r="H16" s="46" t="str">
        <x:v>Reem Salim Demo</x:v>
      </x:c>
      <x:c r="I16" s="46" t="str"/>
      <x:c r="J16" s="46" t="str"/>
      <x:c r="K16" s="49" t="str"/>
      <x:c r="L16" s="49" t="str"/>
      <x:c r="M16" s="49" t="str"/>
      <x:c r="N16" s="49" t="str"/>
      <x:c r="O16" s="49" t="str"/>
    </x:row>
    <x:row r="17" ht="42" customHeight="1">
      <x:c r="A17" s="46" t="str"/>
      <x:c r="B17" s="46" t="str"/>
      <x:c r="C17" s="46" t="str"/>
      <x:c r="D17" s="49" t="str"/>
      <x:c r="E17" s="49" t="str"/>
      <x:c r="F17" s="46" t="str"/>
      <x:c r="G17" s="46" t="str">
        <x:v>260016</x:v>
      </x:c>
      <x:c r="H17" s="46" t="str">
        <x:v>Nabil Fadi Demo</x:v>
      </x:c>
      <x:c r="I17" s="46" t="str"/>
      <x:c r="J17" s="46" t="str"/>
      <x:c r="K17" s="49" t="str"/>
      <x:c r="L17" s="49" t="str"/>
      <x:c r="M17" s="49" t="str"/>
      <x:c r="N17" s="49" t="str"/>
      <x:c r="O17" s="49" t="str"/>
    </x:row>
    <x:row r="18" ht="42" customHeight="1">
      <x:c r="A18" s="46" t="str"/>
      <x:c r="B18" s="46" t="str"/>
      <x:c r="C18" s="46" t="str"/>
      <x:c r="D18" s="49" t="str"/>
      <x:c r="E18" s="49" t="str"/>
      <x:c r="F18" s="46" t="str"/>
      <x:c r="G18" s="46" t="str">
        <x:v>260017</x:v>
      </x:c>
      <x:c r="H18" s="46" t="str">
        <x:v>Sara Mazen Demo</x:v>
      </x:c>
      <x:c r="I18" s="46" t="str"/>
      <x:c r="J18" s="46" t="str"/>
      <x:c r="K18" s="49" t="str"/>
      <x:c r="L18" s="49" t="str"/>
      <x:c r="M18" s="49" t="str"/>
      <x:c r="N18" s="49" t="str"/>
      <x:c r="O18" s="49" t="str"/>
    </x:row>
    <x:row r="19" ht="42" customHeight="1">
      <x:c r="A19" s="46" t="str">
        <x:v>2026</x:v>
      </x:c>
      <x:c r="B19" s="46" t="str">
        <x:v>CSP</x:v>
      </x:c>
      <x:c r="C19" s="46" t="str">
        <x:v>CSP-02</x:v>
      </x:c>
      <x:c r="D19" s="49" t="str">
        <x:v>Secure Research Data Exchange</x:v>
      </x:c>
      <x:c r="E19" s="49" t="str">
        <x:v>A role-aware platform for controlled exchange, audit and lifecycle management of university research datasets.</x:v>
      </x:c>
      <x:c r="F19" s="46" t="str">
        <x:v>CSP-B</x:v>
      </x:c>
      <x:c r="G19" s="46" t="str">
        <x:v>260018</x:v>
      </x:c>
      <x:c r="H19" s="46" t="str">
        <x:v>Laith Nadim Demo</x:v>
      </x:c>
      <x:c r="I19" s="46" t="str">
        <x:v>SUP-CSP-01</x:v>
      </x:c>
      <x:c r="J19" s="46" t="str">
        <x:v>Dalia Quartz Demo</x:v>
      </x:c>
      <x:c r="K19" s="49" t="str">
        <x:v>report.csp@squ.edu.om</x:v>
      </x:c>
      <x:c r="L19" s="49" t="str">
        <x:v>oral.csp@squ.edu.om</x:v>
      </x:c>
      <x:c r="M19" s="49" t="str">
        <x:v>report.cross1@squ.edu.om</x:v>
      </x:c>
      <x:c r="N19" s="49" t="str">
        <x:v>oral.cross1@squ.edu.om</x:v>
      </x:c>
      <x:c r="O19" s="49" t="str">
        <x:v>guest.digital@example.org</x:v>
      </x:c>
    </x:row>
    <x:row r="20" ht="42" customHeight="1">
      <x:c r="A20" s="46" t="str"/>
      <x:c r="B20" s="46" t="str"/>
      <x:c r="C20" s="46" t="str"/>
      <x:c r="D20" s="49" t="str"/>
      <x:c r="E20" s="49" t="str"/>
      <x:c r="F20" s="46" t="str"/>
      <x:c r="G20" s="46" t="str">
        <x:v>260019</x:v>
      </x:c>
      <x:c r="H20" s="46" t="str">
        <x:v>Rana Hisham Demo</x:v>
      </x:c>
      <x:c r="I20" s="46" t="str"/>
      <x:c r="J20" s="46" t="str"/>
      <x:c r="K20" s="49" t="str"/>
      <x:c r="L20" s="49" t="str"/>
      <x:c r="M20" s="49" t="str"/>
      <x:c r="N20" s="49" t="str"/>
      <x:c r="O20" s="49" t="str"/>
    </x:row>
    <x:row r="21" ht="42" customHeight="1">
      <x:c r="A21" s="46" t="str"/>
      <x:c r="B21" s="46" t="str"/>
      <x:c r="C21" s="46" t="str"/>
      <x:c r="D21" s="49" t="str"/>
      <x:c r="E21" s="49" t="str"/>
      <x:c r="F21" s="46" t="str"/>
      <x:c r="G21" s="46" t="str">
        <x:v>260020</x:v>
      </x:c>
      <x:c r="H21" s="46" t="str">
        <x:v>Iyad Rayan Demo</x:v>
      </x:c>
      <x:c r="I21" s="46" t="str"/>
      <x:c r="J21" s="46" t="str"/>
      <x:c r="K21" s="49" t="str"/>
      <x:c r="L21" s="49" t="str"/>
      <x:c r="M21" s="49" t="str"/>
      <x:c r="N21" s="49" t="str"/>
      <x:c r="O21" s="49" t="str"/>
    </x:row>
    <x:row r="22" ht="42" customHeight="1">
      <x:c r="A22" s="46" t="str">
        <x:v>2026</x:v>
      </x:c>
      <x:c r="B22" s="46" t="str">
        <x:v>PSE</x:v>
      </x:c>
      <x:c r="C22" s="46" t="str">
        <x:v>PSE-01</x:v>
      </x:c>
      <x:c r="D22" s="49" t="str">
        <x:v>Microgrid Energy Forecast and Dispatch</x:v>
      </x:c>
      <x:c r="E22" s="49" t="str">
        <x:v>A forecasting and optimization platform for dispatching solar generation, storage and flexible campus loads.</x:v>
      </x:c>
      <x:c r="F22" s="46" t="str">
        <x:v>PSE-A</x:v>
      </x:c>
      <x:c r="G22" s="46" t="str">
        <x:v>260021</x:v>
      </x:c>
      <x:c r="H22" s="46" t="str">
        <x:v>Maya Jaber Demo</x:v>
      </x:c>
      <x:c r="I22" s="46" t="str">
        <x:v>SUP-PSE-01</x:v>
      </x:c>
      <x:c r="J22" s="46" t="str">
        <x:v>Rima Solis Demo</x:v>
      </x:c>
      <x:c r="K22" s="49" t="str">
        <x:v>report.pse@squ.edu.om; report.cross2@squ.edu.om</x:v>
      </x:c>
      <x:c r="L22" s="49" t="str">
        <x:v>oral.pse@squ.edu.om; oral.cross1@squ.edu.om</x:v>
      </x:c>
      <x:c r="M22" s="49" t="str">
        <x:v>report.pse@squ.edu.om; report.cross1@squ.edu.om</x:v>
      </x:c>
      <x:c r="N22" s="49" t="str">
        <x:v>oral.pse@squ.edu.om; oral.cross2@squ.edu.om</x:v>
      </x:c>
      <x:c r="O22" s="49" t="str">
        <x:v>guest.energy@example.org; guest.innovation@example.org</x:v>
      </x:c>
    </x:row>
    <x:row r="23" ht="42" customHeight="1">
      <x:c r="A23" s="46" t="str"/>
      <x:c r="B23" s="46" t="str"/>
      <x:c r="C23" s="46" t="str"/>
      <x:c r="D23" s="49" t="str"/>
      <x:c r="E23" s="49" t="str"/>
      <x:c r="F23" s="46" t="str"/>
      <x:c r="G23" s="46" t="str">
        <x:v>260022</x:v>
      </x:c>
      <x:c r="H23" s="46" t="str">
        <x:v>Tarek Amin Demo</x:v>
      </x:c>
      <x:c r="I23" s="46" t="str">
        <x:v>SUP-PSE-02</x:v>
      </x:c>
      <x:c r="J23" s="46" t="str">
        <x:v>Fahad Elm Demo</x:v>
      </x:c>
      <x:c r="K23" s="49" t="str"/>
      <x:c r="L23" s="49" t="str"/>
      <x:c r="M23" s="49" t="str"/>
      <x:c r="N23" s="49" t="str"/>
      <x:c r="O23" s="49" t="str"/>
    </x:row>
    <x:row r="24" ht="42" customHeight="1">
      <x:c r="A24" s="46" t="str"/>
      <x:c r="B24" s="46" t="str"/>
      <x:c r="C24" s="46" t="str"/>
      <x:c r="D24" s="49" t="str"/>
      <x:c r="E24" s="49" t="str"/>
      <x:c r="F24" s="46" t="str"/>
      <x:c r="G24" s="46" t="str">
        <x:v>260023</x:v>
      </x:c>
      <x:c r="H24" s="46" t="str">
        <x:v>Noura Zaki Demo</x:v>
      </x:c>
      <x:c r="I24" s="46" t="str"/>
      <x:c r="J24" s="46" t="str"/>
      <x:c r="K24" s="49" t="str"/>
      <x:c r="L24" s="49" t="str"/>
      <x:c r="M24" s="49" t="str"/>
      <x:c r="N24" s="49" t="str"/>
      <x:c r="O24" s="49" t="str"/>
    </x:row>
    <x:row r="25" ht="42" customHeight="1">
      <x:c r="A25" s="46" t="str"/>
      <x:c r="B25" s="46" t="str"/>
      <x:c r="C25" s="46" t="str"/>
      <x:c r="D25" s="49" t="str"/>
      <x:c r="E25" s="49" t="str"/>
      <x:c r="F25" s="46" t="str"/>
      <x:c r="G25" s="46" t="str">
        <x:v>260024</x:v>
      </x:c>
      <x:c r="H25" s="46" t="str">
        <x:v>Khaled Riad Demo</x:v>
      </x:c>
      <x:c r="I25" s="46" t="str"/>
      <x:c r="J25" s="46" t="str"/>
      <x:c r="K25" s="49" t="str"/>
      <x:c r="L25" s="49" t="str"/>
      <x:c r="M25" s="49" t="str"/>
      <x:c r="N25" s="49" t="str"/>
      <x:c r="O25" s="49" t="str"/>
    </x:row>
    <x:row r="26" ht="42" customHeight="1">
      <x:c r="A26" s="46" t="str">
        <x:v>2026</x:v>
      </x:c>
      <x:c r="B26" s="46" t="str">
        <x:v>PSE</x:v>
      </x:c>
      <x:c r="C26" s="46" t="str">
        <x:v>PSE-02</x:v>
      </x:c>
      <x:c r="D26" s="49" t="str">
        <x:v>Intelligent EV Charging Scheduler</x:v>
      </x:c>
      <x:c r="E26" s="49" t="str">
        <x:v>A demand-aware scheduling system that coordinates electric vehicle charging with distribution-grid constraints.</x:v>
      </x:c>
      <x:c r="F26" s="46" t="str">
        <x:v>PSE-B</x:v>
      </x:c>
      <x:c r="G26" s="46" t="str">
        <x:v>260025</x:v>
      </x:c>
      <x:c r="H26" s="46" t="str">
        <x:v>Lina Saif Demo</x:v>
      </x:c>
      <x:c r="I26" s="46" t="str">
        <x:v>SUP-PSE-02</x:v>
      </x:c>
      <x:c r="J26" s="46" t="str">
        <x:v>Fahad Elm Demo</x:v>
      </x:c>
      <x:c r="K26" s="49" t="str">
        <x:v>report.pse@squ.edu.om</x:v>
      </x:c>
      <x:c r="L26" s="49" t="str">
        <x:v>oral.pse@squ.edu.om</x:v>
      </x:c>
      <x:c r="M26" s="49" t="str">
        <x:v>report.cross2@squ.edu.om</x:v>
      </x:c>
      <x:c r="N26" s="49" t="str">
        <x:v>oral.cross2@squ.edu.om</x:v>
      </x:c>
      <x:c r="O26" s="49" t="str">
        <x:v>guest.energy@example.org</x:v>
      </x:c>
    </x:row>
    <x:row r="27" ht="42" customHeight="1">
      <x:c r="A27" s="47" t="str"/>
      <x:c r="B27" s="47" t="str"/>
      <x:c r="C27" s="47" t="str"/>
      <x:c r="D27" s="50" t="str"/>
      <x:c r="E27" s="50" t="str"/>
      <x:c r="F27" s="47" t="str"/>
      <x:c r="G27" s="47" t="str">
        <x:v>260026</x:v>
      </x:c>
      <x:c r="H27" s="47" t="str">
        <x:v>Fares Adil Demo</x:v>
      </x:c>
      <x:c r="I27" s="47" t="str"/>
      <x:c r="J27" s="47" t="str"/>
      <x:c r="K27" s="50" t="str"/>
      <x:c r="L27" s="50" t="str"/>
      <x:c r="M27" s="50" t="str"/>
      <x:c r="N27" s="50" t="str"/>
      <x:c r="O27" s="50" t="str"/>
    </x:row>
  </x:sheetData>
  <x:dataValidations count="1">
    <x:dataValidation type="list" sqref="B2:B27">
      <x:formula1>"EIC,CSN,CSP,PSE"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0d45f950fa49c0"/>
  </x:tableParts>
</x:worksheet>
</file>